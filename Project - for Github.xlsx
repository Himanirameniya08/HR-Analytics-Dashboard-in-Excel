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https://d.docs.live.net/02e38775ab0d0577/Documents/"/>
    </mc:Choice>
  </mc:AlternateContent>
  <xr:revisionPtr revIDLastSave="1813" documentId="8_{1120378F-2D37-4A7E-9291-ABFD169945DF}" xr6:coauthVersionLast="47" xr6:coauthVersionMax="47" xr10:uidLastSave="{79E90EBA-2739-48B1-9FA0-4ACDA10E203F}"/>
  <bookViews>
    <workbookView xWindow="-108" yWindow="-108" windowWidth="23256" windowHeight="12456" firstSheet="1" activeTab="1" xr2:uid="{552D1C8A-274A-41A6-94AB-4CA3AB651A58}"/>
  </bookViews>
  <sheets>
    <sheet name="Pivot Report " sheetId="1" state="hidden" r:id="rId1"/>
    <sheet name="Dashboard" sheetId="2" r:id="rId2"/>
  </sheets>
  <definedNames>
    <definedName name="Slicer_Date__Month">#N/A</definedName>
    <definedName name="Slicer_Date__Year">#N/A</definedName>
  </definedNames>
  <calcPr calcId="191029"/>
  <pivotCaches>
    <pivotCache cacheId="1036" r:id="rId3"/>
    <pivotCache cacheId="1039" r:id="rId4"/>
    <pivotCache cacheId="1042" r:id="rId5"/>
    <pivotCache cacheId="1045" r:id="rId6"/>
    <pivotCache cacheId="1048" r:id="rId7"/>
    <pivotCache cacheId="1051" r:id="rId8"/>
    <pivotCache cacheId="1054" r:id="rId9"/>
    <pivotCache cacheId="1057" r:id="rId10"/>
    <pivotCache cacheId="1060" r:id="rId11"/>
    <pivotCache cacheId="1063" r:id="rId12"/>
    <pivotCache cacheId="1066" r:id="rId13"/>
    <pivotCache cacheId="1069" r:id="rId14"/>
  </pivotCaches>
  <extLst>
    <ext xmlns:x14="http://schemas.microsoft.com/office/spreadsheetml/2009/9/main" uri="{876F7934-8845-4945-9796-88D515C7AA90}">
      <x14:pivotCaches>
        <pivotCache cacheId="25"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s_1000_records_7e4072da-068c-41a8-8d8f-0a5aba90255b" name="employees_1000_records" connection="Query - employees_1000_records"/>
          <x15:modelTable id="Calendar_Table_8cb7ad7b-a086-4fe3-9d5e-2658c890dc5a" name="Calendar_Table" connection="Query - Calendar_Table"/>
        </x15:modelTables>
        <x15:modelRelationships>
          <x15:modelRelationship fromTable="employees_1000_records" fromColumn="hire_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3E340E-BCB8-43A6-8B6F-3D7E9DCA69FC}" name="Query - Calendar_Table" description="Connection to the 'Calendar_Table' query in the workbook." type="100" refreshedVersion="8" minRefreshableVersion="5">
    <extLst>
      <ext xmlns:x15="http://schemas.microsoft.com/office/spreadsheetml/2010/11/main" uri="{DE250136-89BD-433C-8126-D09CA5730AF9}">
        <x15:connection id="8de041d3-7fea-4cf1-b58b-5a5bf6f613c8">
          <x15:oledbPr connection="Provider=Microsoft.Mashup.OleDb.1;Data Source=$Workbook$;Location=Calendar_Table;Extended Properties=&quot;&quot;">
            <x15:dbTables>
              <x15:dbTable name="Calendar_Table"/>
            </x15:dbTables>
          </x15:oledbPr>
        </x15:connection>
      </ext>
    </extLst>
  </connection>
  <connection id="2" xr16:uid="{620E37EE-4412-4AD6-B64C-5C1AC38C4514}" name="Query - employees_1000_records" description="Connection to the 'employees_1000_records' query in the workbook." type="100" refreshedVersion="8" minRefreshableVersion="5">
    <extLst>
      <ext xmlns:x15="http://schemas.microsoft.com/office/spreadsheetml/2010/11/main" uri="{DE250136-89BD-433C-8126-D09CA5730AF9}">
        <x15:connection id="83a448e1-380c-4e41-b915-9c711e7cfe93"/>
      </ext>
    </extLst>
  </connection>
  <connection id="3" xr16:uid="{0566B561-7F1D-41EF-B3CA-F0816E9C1E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<sst xmlns="http://schemas.openxmlformats.org/spreadsheetml/2006/main" count="421" uniqueCount="396">
  <si>
    <t>Row Labels</t>
  </si>
  <si>
    <t>Admin</t>
  </si>
  <si>
    <t>Finance</t>
  </si>
  <si>
    <t>IT</t>
  </si>
  <si>
    <t>Marketing</t>
  </si>
  <si>
    <t>Grand Total</t>
  </si>
  <si>
    <t>Female</t>
  </si>
  <si>
    <t>Male</t>
  </si>
  <si>
    <t>Other</t>
  </si>
  <si>
    <t>Active</t>
  </si>
  <si>
    <t>On Leave</t>
  </si>
  <si>
    <t>Resigned</t>
  </si>
  <si>
    <t>29</t>
  </si>
  <si>
    <t>23</t>
  </si>
  <si>
    <t>26</t>
  </si>
  <si>
    <t>34</t>
  </si>
  <si>
    <t>Distinct Count of Employee ID</t>
  </si>
  <si>
    <t>Average of salary</t>
  </si>
  <si>
    <t>Count of Employee ID</t>
  </si>
  <si>
    <t>Average of performance_rating</t>
  </si>
  <si>
    <t xml:space="preserve"> </t>
  </si>
  <si>
    <t>Average of Employee Tenure</t>
  </si>
  <si>
    <t>6-Mar</t>
  </si>
  <si>
    <t>7-Mar</t>
  </si>
  <si>
    <t>19-Mar</t>
  </si>
  <si>
    <t>21-Mar</t>
  </si>
  <si>
    <t>31-Mar</t>
  </si>
  <si>
    <t>26-Mar</t>
  </si>
  <si>
    <t>28-Mar</t>
  </si>
  <si>
    <t>25</t>
  </si>
  <si>
    <t>30</t>
  </si>
  <si>
    <t>36</t>
  </si>
  <si>
    <t>2020</t>
  </si>
  <si>
    <t>18-Mar</t>
  </si>
  <si>
    <t>20-Mar</t>
  </si>
  <si>
    <t>24-Mar</t>
  </si>
  <si>
    <t>24</t>
  </si>
  <si>
    <t>37</t>
  </si>
  <si>
    <t>38</t>
  </si>
  <si>
    <t>2017</t>
  </si>
  <si>
    <t>3-Mar</t>
  </si>
  <si>
    <t>11-Mar</t>
  </si>
  <si>
    <t>15-Mar</t>
  </si>
  <si>
    <t>27-Mar</t>
  </si>
  <si>
    <t>28</t>
  </si>
  <si>
    <t>39</t>
  </si>
  <si>
    <t>40</t>
  </si>
  <si>
    <t>41</t>
  </si>
  <si>
    <t>2016</t>
  </si>
  <si>
    <t>Sales</t>
  </si>
  <si>
    <t>2-Mar</t>
  </si>
  <si>
    <t>4-Mar</t>
  </si>
  <si>
    <t>12-Mar</t>
  </si>
  <si>
    <t>13-Mar</t>
  </si>
  <si>
    <t>14-Mar</t>
  </si>
  <si>
    <t>17-Mar</t>
  </si>
  <si>
    <t>22</t>
  </si>
  <si>
    <t>27</t>
  </si>
  <si>
    <t>2018</t>
  </si>
  <si>
    <t>2019</t>
  </si>
  <si>
    <t>2021</t>
  </si>
  <si>
    <t>2022</t>
  </si>
  <si>
    <t>5-Mar</t>
  </si>
  <si>
    <t>8-Mar</t>
  </si>
  <si>
    <t>10-Mar</t>
  </si>
  <si>
    <t>16-Mar</t>
  </si>
  <si>
    <t>22-Mar</t>
  </si>
  <si>
    <t>23-Mar</t>
  </si>
  <si>
    <t>25-Mar</t>
  </si>
  <si>
    <t>29-Mar</t>
  </si>
  <si>
    <t>31</t>
  </si>
  <si>
    <t>32</t>
  </si>
  <si>
    <t>33</t>
  </si>
  <si>
    <t>35</t>
  </si>
  <si>
    <t>2023</t>
  </si>
  <si>
    <t>2024</t>
  </si>
  <si>
    <t>2025</t>
  </si>
  <si>
    <t>2026</t>
  </si>
  <si>
    <t>1-Mar</t>
  </si>
  <si>
    <t>9-Mar</t>
  </si>
  <si>
    <t>1-Nov</t>
  </si>
  <si>
    <t>2-Nov</t>
  </si>
  <si>
    <t>3-Nov</t>
  </si>
  <si>
    <t>5-Nov</t>
  </si>
  <si>
    <t>6-Nov</t>
  </si>
  <si>
    <t>7-Nov</t>
  </si>
  <si>
    <t>8-Nov</t>
  </si>
  <si>
    <t>9-Nov</t>
  </si>
  <si>
    <t>10-Nov</t>
  </si>
  <si>
    <t>12-Nov</t>
  </si>
  <si>
    <t>13-Nov</t>
  </si>
  <si>
    <t>14-Nov</t>
  </si>
  <si>
    <t>15-Nov</t>
  </si>
  <si>
    <t>16-Nov</t>
  </si>
  <si>
    <t>17-Nov</t>
  </si>
  <si>
    <t>18-Nov</t>
  </si>
  <si>
    <t>19-Nov</t>
  </si>
  <si>
    <t>20-Nov</t>
  </si>
  <si>
    <t>21-Nov</t>
  </si>
  <si>
    <t>22-Nov</t>
  </si>
  <si>
    <t>23-Nov</t>
  </si>
  <si>
    <t>24-Nov</t>
  </si>
  <si>
    <t>26-Nov</t>
  </si>
  <si>
    <t>27-Nov</t>
  </si>
  <si>
    <t>28-Nov</t>
  </si>
  <si>
    <t>29-Nov</t>
  </si>
  <si>
    <t>30-Nov</t>
  </si>
  <si>
    <t>1-Jan</t>
  </si>
  <si>
    <t>2-Jan</t>
  </si>
  <si>
    <t>3-Jan</t>
  </si>
  <si>
    <t>4-Jan</t>
  </si>
  <si>
    <t>5-Jan</t>
  </si>
  <si>
    <t>6-Jan</t>
  </si>
  <si>
    <t>7-Jan</t>
  </si>
  <si>
    <t>8-Jan</t>
  </si>
  <si>
    <t>9-Jan</t>
  </si>
  <si>
    <t>10-Jan</t>
  </si>
  <si>
    <t>11-Jan</t>
  </si>
  <si>
    <t>12-Jan</t>
  </si>
  <si>
    <t>13-Jan</t>
  </si>
  <si>
    <t>14-Jan</t>
  </si>
  <si>
    <t>15-Jan</t>
  </si>
  <si>
    <t>16-Jan</t>
  </si>
  <si>
    <t>17-Jan</t>
  </si>
  <si>
    <t>18-Jan</t>
  </si>
  <si>
    <t>19-Jan</t>
  </si>
  <si>
    <t>21-Jan</t>
  </si>
  <si>
    <t>22-Jan</t>
  </si>
  <si>
    <t>23-Jan</t>
  </si>
  <si>
    <t>24-Jan</t>
  </si>
  <si>
    <t>25-Jan</t>
  </si>
  <si>
    <t>26-Jan</t>
  </si>
  <si>
    <t>27-Jan</t>
  </si>
  <si>
    <t>29-Jan</t>
  </si>
  <si>
    <t>30-Jan</t>
  </si>
  <si>
    <t>31-Jan</t>
  </si>
  <si>
    <t>1-Feb</t>
  </si>
  <si>
    <t>2-Feb</t>
  </si>
  <si>
    <t>3-Feb</t>
  </si>
  <si>
    <t>4-Feb</t>
  </si>
  <si>
    <t>5-Feb</t>
  </si>
  <si>
    <t>6-Feb</t>
  </si>
  <si>
    <t>7-Feb</t>
  </si>
  <si>
    <t>8-Feb</t>
  </si>
  <si>
    <t>9-Feb</t>
  </si>
  <si>
    <t>10-Feb</t>
  </si>
  <si>
    <t>11-Feb</t>
  </si>
  <si>
    <t>12-Feb</t>
  </si>
  <si>
    <t>13-Feb</t>
  </si>
  <si>
    <t>14-Feb</t>
  </si>
  <si>
    <t>16-Feb</t>
  </si>
  <si>
    <t>17-Feb</t>
  </si>
  <si>
    <t>18-Feb</t>
  </si>
  <si>
    <t>19-Feb</t>
  </si>
  <si>
    <t>20-Feb</t>
  </si>
  <si>
    <t>21-Feb</t>
  </si>
  <si>
    <t>22-Feb</t>
  </si>
  <si>
    <t>23-Feb</t>
  </si>
  <si>
    <t>24-Feb</t>
  </si>
  <si>
    <t>25-Feb</t>
  </si>
  <si>
    <t>26-Feb</t>
  </si>
  <si>
    <t>27-Feb</t>
  </si>
  <si>
    <t>28-Feb</t>
  </si>
  <si>
    <t>29-Feb</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</si>
  <si>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</si>
  <si>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</si>
  <si>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</si>
  <si>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</si>
  <si>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</si>
  <si>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</si>
  <si>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</si>
  <si>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</si>
  <si>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</si>
  <si>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</si>
  <si>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</si>
  <si>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</si>
  <si>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</si>
  <si>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</si>
  <si>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</si>
  <si>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</si>
  <si>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</si>
  <si>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</si>
  <si>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</si>
  <si>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</si>
  <si>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</si>
  <si>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</si>
  <si>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</si>
  <si>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</si>
  <si>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</si>
  <si>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</si>
  <si>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</si>
  <si>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</si>
  <si>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</si>
  <si>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1-May</t>
  </si>
  <si>
    <t>3-May</t>
  </si>
  <si>
    <t>4-May</t>
  </si>
  <si>
    <t>5-May</t>
  </si>
  <si>
    <t>6-May</t>
  </si>
  <si>
    <t>7-May</t>
  </si>
  <si>
    <t>8-May</t>
  </si>
  <si>
    <t>10-May</t>
  </si>
  <si>
    <t>11-May</t>
  </si>
  <si>
    <t>13-May</t>
  </si>
  <si>
    <t>14-May</t>
  </si>
  <si>
    <t>15-May</t>
  </si>
  <si>
    <t>16-May</t>
  </si>
  <si>
    <t>17-May</t>
  </si>
  <si>
    <t>18-May</t>
  </si>
  <si>
    <t>19-May</t>
  </si>
  <si>
    <t>20-May</t>
  </si>
  <si>
    <t>21-May</t>
  </si>
  <si>
    <t>22-May</t>
  </si>
  <si>
    <t>23-May</t>
  </si>
  <si>
    <t>24-May</t>
  </si>
  <si>
    <t>25-May</t>
  </si>
  <si>
    <t>26-May</t>
  </si>
  <si>
    <t>27-May</t>
  </si>
  <si>
    <t>28-May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</si>
  <si>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</si>
  <si>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</si>
  <si>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</si>
  <si>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</si>
  <si>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</si>
  <si>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</si>
  <si>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</si>
  <si>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</si>
  <si>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</si>
  <si>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</si>
  <si>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</si>
  <si>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</si>
  <si>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</si>
  <si>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</si>
  <si>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</si>
  <si>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</si>
  <si>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</si>
  <si>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</si>
  <si>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</si>
  <si>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</si>
  <si>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</si>
  <si>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</si>
  <si>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</si>
  <si>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</si>
  <si>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</si>
  <si>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</si>
  <si>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</si>
  <si>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</si>
  <si>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</si>
  <si>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</si>
  <si>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</si>
  <si>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</si>
  <si>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</si>
  <si>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</si>
  <si>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</si>
  <si>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</si>
  <si>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</si>
  <si>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</si>
  <si>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</si>
  <si>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</si>
  <si>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10-Jul</t>
  </si>
  <si>
    <t>11-Jul</t>
  </si>
  <si>
    <t>12-Jul</t>
  </si>
  <si>
    <t>13-Jul</t>
  </si>
  <si>
    <t>14-Jul</t>
  </si>
  <si>
    <t>16-Jul</t>
  </si>
  <si>
    <t>17-Jul</t>
  </si>
  <si>
    <t>18-Jul</t>
  </si>
  <si>
    <t>19-Jul</t>
  </si>
  <si>
    <t>20-Jul</t>
  </si>
  <si>
    <t>21-Jul</t>
  </si>
  <si>
    <t>22-Jul</t>
  </si>
  <si>
    <t>23-Jul</t>
  </si>
  <si>
    <t>24-Jul</t>
  </si>
  <si>
    <t>25-Jul</t>
  </si>
  <si>
    <t>27-Jul</t>
  </si>
  <si>
    <t>28-Jul</t>
  </si>
  <si>
    <t>29-Jul</t>
  </si>
  <si>
    <t>30-Jul</t>
  </si>
  <si>
    <t>31-Jul</t>
  </si>
  <si>
    <t>1-Aug</t>
  </si>
  <si>
    <t>2-Aug</t>
  </si>
  <si>
    <t>3-Aug</t>
  </si>
  <si>
    <t>4-Aug</t>
  </si>
  <si>
    <t>5-Aug</t>
  </si>
  <si>
    <t>6-Aug</t>
  </si>
  <si>
    <t>7-Aug</t>
  </si>
  <si>
    <t>8-Aug</t>
  </si>
  <si>
    <t>9-Aug</t>
  </si>
  <si>
    <t>10-Aug</t>
  </si>
  <si>
    <t>11-Aug</t>
  </si>
  <si>
    <t>12-Aug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</si>
  <si>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</si>
  <si>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</si>
  <si>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</si>
  <si>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</si>
  <si>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</si>
  <si>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</si>
  <si>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</si>
  <si>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</si>
  <si>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</si>
  <si>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</si>
  <si>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</si>
  <si>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</si>
  <si>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</si>
  <si>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</si>
  <si>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</si>
  <si>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</si>
  <si>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</si>
  <si>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</si>
  <si>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</si>
  <si>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</si>
  <si>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</si>
  <si>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</si>
  <si>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</si>
  <si>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</si>
  <si>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</si>
  <si>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</si>
  <si>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</si>
  <si>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</si>
  <si>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</si>
  <si>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</si>
  <si>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</si>
  <si>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</si>
  <si>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</si>
  <si>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</si>
  <si>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</si>
  <si>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</si>
  <si>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</si>
  <si>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</si>
  <si>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</si>
  <si>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23-Sep</t>
  </si>
  <si>
    <t>24-Sep</t>
  </si>
  <si>
    <t>25-Sep</t>
  </si>
  <si>
    <t>26-Sep</t>
  </si>
  <si>
    <t>27-Sep</t>
  </si>
  <si>
    <t>28-Sep</t>
  </si>
  <si>
    <t>29-Sep</t>
  </si>
  <si>
    <t>30-Sep</t>
  </si>
  <si>
    <t>2-Oct</t>
  </si>
  <si>
    <t>3-Oct</t>
  </si>
  <si>
    <t>4-Oct</t>
  </si>
  <si>
    <t>5-Oct</t>
  </si>
  <si>
    <t>6-Oct</t>
  </si>
  <si>
    <t>7-Oct</t>
  </si>
  <si>
    <t>8-Oct</t>
  </si>
  <si>
    <t>9-Oct</t>
  </si>
  <si>
    <t>10-Oct</t>
  </si>
  <si>
    <t>11-Oct</t>
  </si>
  <si>
    <t>12-Oct</t>
  </si>
  <si>
    <t>14-Oct</t>
  </si>
  <si>
    <t>15-Oct</t>
  </si>
  <si>
    <t>16-Oct</t>
  </si>
  <si>
    <t>17-Oct</t>
  </si>
  <si>
    <t>18-Oct</t>
  </si>
  <si>
    <t>19-Oct</t>
  </si>
  <si>
    <t>20-Oct</t>
  </si>
  <si>
    <t>21-Oct</t>
  </si>
  <si>
    <t>22-Oct</t>
  </si>
  <si>
    <t>23-Oct</t>
  </si>
  <si>
    <t>24-Oct</t>
  </si>
  <si>
    <t>25-Oct</t>
  </si>
  <si>
    <t>26-Oct</t>
  </si>
  <si>
    <t>27-Oct</t>
  </si>
  <si>
    <t>28-Oct</t>
  </si>
  <si>
    <t>29-Oct</t>
  </si>
  <si>
    <t>30-Oct</t>
  </si>
  <si>
    <t>31-Oct</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</si>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</sst>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0.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282828"/>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2" fontId="0" fillId="0" borderId="0" xfId="0" applyNumberFormat="1"/>
    <xf numFmtId="1" fontId="0" fillId="0" borderId="0" xfId="0" applyNumberFormat="1"/>
    <xf numFmtId="164" fontId="0" fillId="0" borderId="0" xfId="0" applyNumberFormat="1"/>
    <xf numFmtId="43" fontId="0" fillId="0" borderId="0" xfId="0" applyNumberFormat="1"/>
    <xf numFmtId="0" fontId="1" fillId="2" borderId="0" xfId="0" applyFont="1" applyFill="1"/>
    <xf numFmtId="0" fontId="0" fillId="0" borderId="0" xfId="0" applyNumberFormat="1"/>
  </cellXfs>
  <cellStyles count="1">
    <cellStyle name="Normal" xfId="0" builtinId="0"/>
  </cellStyles>
  <dxfs count="47">
    <dxf>
      <numFmt numFmtId="164" formatCode="0.0"/>
    </dxf>
    <dxf>
      <numFmt numFmtId="35" formatCode="_ * #,##0.00_ ;_ * \-#,##0.00_ ;_ * &quot;-&quot;??_ ;_ @_ "/>
    </dxf>
    <dxf>
      <numFmt numFmtId="1" formatCode="0"/>
    </dxf>
    <dxf>
      <numFmt numFmtId="1" formatCode="0"/>
    </dxf>
    <dxf>
      <numFmt numFmtId="1" formatCode="0"/>
    </dxf>
    <dxf>
      <numFmt numFmtId="1" formatCode="0"/>
    </dxf>
    <dxf>
      <numFmt numFmtId="2" formatCode="0.00"/>
    </dxf>
    <dxf>
      <numFmt numFmtId="164" formatCode="0.0"/>
    </dxf>
    <dxf>
      <numFmt numFmtId="164" formatCode="0.0"/>
    </dxf>
    <dxf>
      <numFmt numFmtId="164" formatCode="0.0"/>
    </dxf>
    <dxf>
      <numFmt numFmtId="35" formatCode="_ * #,##0.00_ ;_ * \-#,##0.00_ ;_ * &quot;-&quot;??_ ;_ @_ "/>
    </dxf>
    <dxf>
      <numFmt numFmtId="1" formatCode="0"/>
    </dxf>
    <dxf>
      <numFmt numFmtId="1" formatCode="0"/>
    </dxf>
    <dxf>
      <numFmt numFmtId="1" formatCode="0"/>
    </dxf>
    <dxf>
      <numFmt numFmtId="1" formatCode="0"/>
    </dxf>
    <dxf>
      <numFmt numFmtId="2" formatCode="0.00"/>
    </dxf>
    <dxf>
      <numFmt numFmtId="164" formatCode="0.0"/>
    </dxf>
    <dxf>
      <numFmt numFmtId="164" formatCode="0.0"/>
    </dxf>
    <dxf>
      <numFmt numFmtId="1" formatCode="0"/>
    </dxf>
    <dxf>
      <numFmt numFmtId="1" formatCode="0"/>
    </dxf>
    <dxf>
      <numFmt numFmtId="1" formatCode="0"/>
    </dxf>
    <dxf>
      <numFmt numFmtId="2" formatCode="0.00"/>
    </dxf>
    <dxf>
      <numFmt numFmtId="164" formatCode="0.0"/>
    </dxf>
    <dxf>
      <numFmt numFmtId="35" formatCode="_ * #,##0.00_ ;_ * \-#,##0.00_ ;_ * &quot;-&quot;??_ ;_ @_ "/>
    </dxf>
    <dxf>
      <numFmt numFmtId="1" formatCode="0"/>
    </dxf>
    <dxf>
      <numFmt numFmtId="164" formatCode="0.0"/>
    </dxf>
    <dxf>
      <numFmt numFmtId="164" formatCode="0.0"/>
    </dxf>
    <dxf>
      <numFmt numFmtId="1" formatCode="0"/>
    </dxf>
    <dxf>
      <numFmt numFmtId="1" formatCode="0"/>
    </dxf>
    <dxf>
      <numFmt numFmtId="1" formatCode="0"/>
    </dxf>
    <dxf>
      <numFmt numFmtId="2" formatCode="0.00"/>
    </dxf>
    <dxf>
      <numFmt numFmtId="164" formatCode="0.0"/>
    </dxf>
    <dxf>
      <numFmt numFmtId="35" formatCode="_ * #,##0.00_ ;_ * \-#,##0.00_ ;_ * &quot;-&quot;??_ ;_ @_ "/>
    </dxf>
    <dxf>
      <numFmt numFmtId="1" formatCode="0"/>
    </dxf>
    <dxf>
      <numFmt numFmtId="164" formatCode="0.0"/>
    </dxf>
    <dxf>
      <numFmt numFmtId="164" formatCode="0.0"/>
    </dxf>
    <dxf>
      <numFmt numFmtId="2" formatCode="0.00"/>
    </dxf>
    <dxf>
      <numFmt numFmtId="1" formatCode="0"/>
    </dxf>
    <dxf>
      <numFmt numFmtId="1" formatCode="0"/>
    </dxf>
    <dxf>
      <numFmt numFmtId="164" formatCode="0.0"/>
    </dxf>
    <dxf>
      <numFmt numFmtId="164" formatCode="0.0"/>
    </dxf>
    <dxf>
      <numFmt numFmtId="1" formatCode="0"/>
    </dxf>
    <dxf>
      <numFmt numFmtId="164" formatCode="0.0"/>
    </dxf>
    <dxf>
      <numFmt numFmtId="35" formatCode="_ * #,##0.00_ ;_ * \-#,##0.00_ ;_ * &quot;-&quot;??_ ;_ @_ "/>
    </dxf>
    <dxf>
      <numFmt numFmtId="1" formatCode="0"/>
    </dxf>
    <dxf>
      <font>
        <b/>
        <color theme="1"/>
      </font>
      <border>
        <bottom style="thin">
          <color theme="4"/>
        </bottom>
        <vertical/>
        <horizontal/>
      </border>
    </dxf>
    <dxf>
      <font>
        <b/>
        <i val="0"/>
        <sz val="8"/>
        <color theme="1"/>
        <name val="Calibri"/>
        <family val="2"/>
        <scheme val="minor"/>
      </font>
      <border diagonalUp="0" diagonalDown="0">
        <left/>
        <right/>
        <top/>
        <bottom/>
        <vertical/>
        <horizontal/>
      </border>
    </dxf>
  </dxfs>
  <tableStyles count="1" defaultTableStyle="TableStyleMedium2" defaultPivotStyle="PivotStyleLight16">
    <tableStyle name="my style " pivot="0" table="0" count="10" xr9:uid="{A305F7F5-ECB1-48FC-84D3-EE024B538013}">
      <tableStyleElement type="wholeTable" dxfId="46"/>
      <tableStyleElement type="headerRow" dxfId="4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for Github.xlsx]Pivot Report !PivotTable2</c:name>
    <c:fmtId val="7"/>
  </c:pivotSource>
  <c:chart>
    <c:title>
      <c:tx>
        <c:rich>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 '!$D$3:$D$8</c:f>
              <c:strCache>
                <c:ptCount val="5"/>
                <c:pt idx="0">
                  <c:v>Admin</c:v>
                </c:pt>
                <c:pt idx="1">
                  <c:v>Finance</c:v>
                </c:pt>
                <c:pt idx="2">
                  <c:v>IT</c:v>
                </c:pt>
                <c:pt idx="3">
                  <c:v>Marketing</c:v>
                </c:pt>
                <c:pt idx="4">
                  <c:v>Sales</c:v>
                </c:pt>
              </c:strCache>
            </c:strRef>
          </c:cat>
          <c:val>
            <c:numRef>
              <c:f>'Pivot Report '!$E$3:$E$8</c:f>
              <c:numCache>
                <c:formatCode>0.00</c:formatCode>
                <c:ptCount val="5"/>
                <c:pt idx="0">
                  <c:v>75792.149484536087</c:v>
                </c:pt>
                <c:pt idx="1">
                  <c:v>75685.371980676326</c:v>
                </c:pt>
                <c:pt idx="2">
                  <c:v>74788.195530726254</c:v>
                </c:pt>
                <c:pt idx="3">
                  <c:v>75479.736842105267</c:v>
                </c:pt>
                <c:pt idx="4">
                  <c:v>75393.691943127968</c:v>
                </c:pt>
              </c:numCache>
            </c:numRef>
          </c:val>
          <c:extLst>
            <c:ext xmlns:c16="http://schemas.microsoft.com/office/drawing/2014/chart" uri="{C3380CC4-5D6E-409C-BE32-E72D297353CC}">
              <c16:uniqueId val="{00000003-2D4C-4332-9CAD-5867836B34F4}"/>
            </c:ext>
          </c:extLst>
        </c:ser>
        <c:dLbls>
          <c:showLegendKey val="0"/>
          <c:showVal val="1"/>
          <c:showCatName val="0"/>
          <c:showSerName val="0"/>
          <c:showPercent val="0"/>
          <c:showBubbleSize val="0"/>
        </c:dLbls>
        <c:gapWidth val="100"/>
        <c:axId val="928278368"/>
        <c:axId val="928276448"/>
      </c:barChart>
      <c:catAx>
        <c:axId val="928278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928276448"/>
        <c:crosses val="autoZero"/>
        <c:auto val="1"/>
        <c:lblAlgn val="ctr"/>
        <c:lblOffset val="100"/>
        <c:noMultiLvlLbl val="0"/>
      </c:catAx>
      <c:valAx>
        <c:axId val="92827644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92827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a:noFill/>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for Github.xlsx]Pivot Report !PivotTable3</c:name>
    <c:fmtId val="7"/>
  </c:pivotSource>
  <c:chart>
    <c:title>
      <c:tx>
        <c:rich>
          <a:bodyPr rot="0" spcFirstLastPara="1" vertOverflow="ellipsis" vert="horz" wrap="square" anchor="ctr" anchorCtr="1"/>
          <a:lstStyle/>
          <a:p>
            <a:pPr>
              <a:defRPr sz="1400" b="1" i="0" u="none" strike="noStrike" kern="1200" cap="none" baseline="0">
                <a:solidFill>
                  <a:srgbClr val="FFFFFF"/>
                </a:solidFill>
                <a:latin typeface="+mn-lt"/>
                <a:ea typeface="+mn-ea"/>
                <a:cs typeface="+mn-cs"/>
              </a:defRPr>
            </a:pPr>
            <a:r>
              <a:rPr lang="en-IN"/>
              <a:t>Hiring Trend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rgbClr val="FFFFFF"/>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 '!$H$2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 '!$G$3:$G$14</c:f>
              <c:strCache>
                <c:ptCount val="11"/>
                <c:pt idx="0">
                  <c:v>08-07-1905</c:v>
                </c:pt>
                <c:pt idx="1">
                  <c:v>09-07-1905</c:v>
                </c:pt>
                <c:pt idx="2">
                  <c:v>10-07-1905</c:v>
                </c:pt>
                <c:pt idx="3">
                  <c:v>11-07-1905</c:v>
                </c:pt>
                <c:pt idx="4">
                  <c:v>12-07-1905</c:v>
                </c:pt>
                <c:pt idx="5">
                  <c:v>13-07-1905</c:v>
                </c:pt>
                <c:pt idx="6">
                  <c:v>14-07-1905</c:v>
                </c:pt>
                <c:pt idx="7">
                  <c:v>15-07-1905</c:v>
                </c:pt>
                <c:pt idx="8">
                  <c:v>16-07-1905</c:v>
                </c:pt>
                <c:pt idx="9">
                  <c:v>17-07-1905</c:v>
                </c:pt>
                <c:pt idx="10">
                  <c:v>18-07-1905</c:v>
                </c:pt>
              </c:strCache>
            </c:strRef>
          </c:cat>
          <c:val>
            <c:numRef>
              <c:f>'Pivot Report '!$H$3:$H$14</c:f>
              <c:numCache>
                <c:formatCode>0</c:formatCode>
                <c:ptCount val="11"/>
                <c:pt idx="0">
                  <c:v>86</c:v>
                </c:pt>
                <c:pt idx="1">
                  <c:v>101</c:v>
                </c:pt>
                <c:pt idx="2">
                  <c:v>122</c:v>
                </c:pt>
                <c:pt idx="3">
                  <c:v>89</c:v>
                </c:pt>
                <c:pt idx="4">
                  <c:v>100</c:v>
                </c:pt>
                <c:pt idx="5">
                  <c:v>91</c:v>
                </c:pt>
                <c:pt idx="6">
                  <c:v>103</c:v>
                </c:pt>
                <c:pt idx="7">
                  <c:v>82</c:v>
                </c:pt>
                <c:pt idx="8">
                  <c:v>107</c:v>
                </c:pt>
                <c:pt idx="9">
                  <c:v>98</c:v>
                </c:pt>
                <c:pt idx="10">
                  <c:v>21</c:v>
                </c:pt>
              </c:numCache>
            </c:numRef>
          </c:val>
          <c:smooth val="0"/>
          <c:extLst>
            <c:ext xmlns:c16="http://schemas.microsoft.com/office/drawing/2014/chart" uri="{C3380CC4-5D6E-409C-BE32-E72D297353CC}">
              <c16:uniqueId val="{00000003-6A7D-48A9-81D8-F49BFB2114FF}"/>
            </c:ext>
          </c:extLst>
        </c:ser>
        <c:dLbls>
          <c:dLblPos val="ctr"/>
          <c:showLegendKey val="0"/>
          <c:showVal val="1"/>
          <c:showCatName val="0"/>
          <c:showSerName val="0"/>
          <c:showPercent val="0"/>
          <c:showBubbleSize val="0"/>
        </c:dLbls>
        <c:marker val="1"/>
        <c:smooth val="0"/>
        <c:axId val="2034766448"/>
        <c:axId val="2034766928"/>
      </c:lineChart>
      <c:catAx>
        <c:axId val="2034766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34766928"/>
        <c:crosses val="autoZero"/>
        <c:auto val="1"/>
        <c:lblAlgn val="ctr"/>
        <c:lblOffset val="100"/>
        <c:noMultiLvlLbl val="0"/>
      </c:catAx>
      <c:valAx>
        <c:axId val="2034766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03476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w="9525" cap="flat" cmpd="sng" algn="ctr">
      <a:solidFill>
        <a:schemeClr val="dk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for Github.xlsx]Pivot Report !PivotTable1</c:name>
    <c:fmtId val="5"/>
  </c:pivotSource>
  <c:chart>
    <c:title>
      <c:tx>
        <c:rich>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r>
              <a:rPr lang="en-US"/>
              <a:t>Headcount by Department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 '!$A$3:$A$8</c:f>
              <c:strCache>
                <c:ptCount val="5"/>
                <c:pt idx="0">
                  <c:v>Admin</c:v>
                </c:pt>
                <c:pt idx="1">
                  <c:v>Finance</c:v>
                </c:pt>
                <c:pt idx="2">
                  <c:v>IT</c:v>
                </c:pt>
                <c:pt idx="3">
                  <c:v>Marketing</c:v>
                </c:pt>
                <c:pt idx="4">
                  <c:v>Sales</c:v>
                </c:pt>
              </c:strCache>
            </c:strRef>
          </c:cat>
          <c:val>
            <c:numRef>
              <c:f>'Pivot Report '!$B$3:$B$8</c:f>
              <c:numCache>
                <c:formatCode>General</c:formatCode>
                <c:ptCount val="5"/>
                <c:pt idx="0">
                  <c:v>194</c:v>
                </c:pt>
                <c:pt idx="1">
                  <c:v>207</c:v>
                </c:pt>
                <c:pt idx="2">
                  <c:v>179</c:v>
                </c:pt>
                <c:pt idx="3">
                  <c:v>209</c:v>
                </c:pt>
                <c:pt idx="4">
                  <c:v>211</c:v>
                </c:pt>
              </c:numCache>
            </c:numRef>
          </c:val>
          <c:extLst>
            <c:ext xmlns:c16="http://schemas.microsoft.com/office/drawing/2014/chart" uri="{C3380CC4-5D6E-409C-BE32-E72D297353CC}">
              <c16:uniqueId val="{00000003-2CAE-41DB-AB12-E6B832B1706F}"/>
            </c:ext>
          </c:extLst>
        </c:ser>
        <c:dLbls>
          <c:showLegendKey val="0"/>
          <c:showVal val="0"/>
          <c:showCatName val="0"/>
          <c:showSerName val="0"/>
          <c:showPercent val="0"/>
          <c:showBubbleSize val="0"/>
        </c:dLbls>
        <c:gapWidth val="100"/>
        <c:axId val="214481119"/>
        <c:axId val="214482079"/>
      </c:barChart>
      <c:catAx>
        <c:axId val="214481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14482079"/>
        <c:crosses val="autoZero"/>
        <c:auto val="1"/>
        <c:lblAlgn val="ctr"/>
        <c:lblOffset val="100"/>
        <c:noMultiLvlLbl val="0"/>
      </c:catAx>
      <c:valAx>
        <c:axId val="214482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1448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a:noFill/>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for Github.xlsx]Pivot Report !PivotTable4</c:name>
    <c:fmtId val="7"/>
  </c:pivotSource>
  <c:chart>
    <c:title>
      <c:tx>
        <c:rich>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r>
              <a:rPr lang="en-IN"/>
              <a:t>Gender Distribution</a:t>
            </a:r>
            <a:endParaRPr lang="en-US"/>
          </a:p>
        </c:rich>
      </c:tx>
      <c:layout>
        <c:manualLayout>
          <c:xMode val="edge"/>
          <c:yMode val="edge"/>
          <c:x val="0.30229089212860472"/>
          <c:y val="0.1033679266444793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Report '!$K$2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12-41A2-9CDA-A5F1903198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12-41A2-9CDA-A5F19031982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412-41A2-9CDA-A5F190319824}"/>
              </c:ext>
            </c:extLst>
          </c:dPt>
          <c:dLbls>
            <c:dLbl>
              <c:idx val="0"/>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12-41A2-9CDA-A5F190319824}"/>
                </c:ext>
              </c:extLst>
            </c:dLbl>
            <c:dLbl>
              <c:idx val="2"/>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12-41A2-9CDA-A5F190319824}"/>
                </c:ext>
              </c:extLst>
            </c:dLbl>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Report '!$J$3:$J$6</c:f>
              <c:strCache>
                <c:ptCount val="3"/>
                <c:pt idx="0">
                  <c:v>Female</c:v>
                </c:pt>
                <c:pt idx="1">
                  <c:v>Male</c:v>
                </c:pt>
                <c:pt idx="2">
                  <c:v>Other</c:v>
                </c:pt>
              </c:strCache>
            </c:strRef>
          </c:cat>
          <c:val>
            <c:numRef>
              <c:f>'Pivot Report '!$K$3:$K$6</c:f>
              <c:numCache>
                <c:formatCode>0</c:formatCode>
                <c:ptCount val="3"/>
                <c:pt idx="0">
                  <c:v>329</c:v>
                </c:pt>
                <c:pt idx="1">
                  <c:v>352</c:v>
                </c:pt>
                <c:pt idx="2">
                  <c:v>319</c:v>
                </c:pt>
              </c:numCache>
            </c:numRef>
          </c:val>
          <c:extLst>
            <c:ext xmlns:c16="http://schemas.microsoft.com/office/drawing/2014/chart" uri="{C3380CC4-5D6E-409C-BE32-E72D297353CC}">
              <c16:uniqueId val="{00000009-10BD-4E18-BA71-614E8E70999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a:noFill/>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for Github.xlsx]Pivot Report !PivotTable5</c:name>
    <c:fmtId val="13"/>
  </c:pivotSource>
  <c:chart>
    <c:title>
      <c:tx>
        <c:rich>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r>
              <a:rPr lang="en-IN"/>
              <a:t>Employment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'!$N$2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 '!$M$3:$M$6</c:f>
              <c:strCache>
                <c:ptCount val="3"/>
                <c:pt idx="0">
                  <c:v>Active</c:v>
                </c:pt>
                <c:pt idx="1">
                  <c:v>On Leave</c:v>
                </c:pt>
                <c:pt idx="2">
                  <c:v>Resigned</c:v>
                </c:pt>
              </c:strCache>
            </c:strRef>
          </c:cat>
          <c:val>
            <c:numRef>
              <c:f>'Pivot Report '!$N$3:$N$6</c:f>
              <c:numCache>
                <c:formatCode>0</c:formatCode>
                <c:ptCount val="3"/>
                <c:pt idx="0">
                  <c:v>329</c:v>
                </c:pt>
                <c:pt idx="1">
                  <c:v>355</c:v>
                </c:pt>
                <c:pt idx="2">
                  <c:v>316</c:v>
                </c:pt>
              </c:numCache>
            </c:numRef>
          </c:val>
          <c:extLst>
            <c:ext xmlns:c16="http://schemas.microsoft.com/office/drawing/2014/chart" uri="{C3380CC4-5D6E-409C-BE32-E72D297353CC}">
              <c16:uniqueId val="{00000003-C815-4EFA-AA9F-10201A8E4F8C}"/>
            </c:ext>
          </c:extLst>
        </c:ser>
        <c:dLbls>
          <c:showLegendKey val="0"/>
          <c:showVal val="0"/>
          <c:showCatName val="0"/>
          <c:showSerName val="0"/>
          <c:showPercent val="0"/>
          <c:showBubbleSize val="0"/>
        </c:dLbls>
        <c:gapWidth val="100"/>
        <c:axId val="214485919"/>
        <c:axId val="214486879"/>
      </c:barChart>
      <c:catAx>
        <c:axId val="214485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14486879"/>
        <c:crosses val="autoZero"/>
        <c:auto val="1"/>
        <c:lblAlgn val="ctr"/>
        <c:lblOffset val="100"/>
        <c:noMultiLvlLbl val="0"/>
      </c:catAx>
      <c:valAx>
        <c:axId val="21448687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144859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a:noFill/>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for Github.xlsx]Pivot Report !PivotTable6</c:name>
    <c:fmtId val="19"/>
  </c:pivotSource>
  <c:chart>
    <c:title>
      <c:tx>
        <c:rich>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r>
              <a:rPr lang="en-IN"/>
              <a:t>Age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 '!$Q$2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Report '!$P$3:$P$23</c:f>
              <c:strCache>
                <c:ptCount val="20"/>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strCache>
            </c:strRef>
          </c:cat>
          <c:val>
            <c:numRef>
              <c:f>'Pivot Report '!$Q$3:$Q$23</c:f>
              <c:numCache>
                <c:formatCode>0</c:formatCode>
                <c:ptCount val="20"/>
                <c:pt idx="0">
                  <c:v>17</c:v>
                </c:pt>
                <c:pt idx="1">
                  <c:v>53</c:v>
                </c:pt>
                <c:pt idx="2">
                  <c:v>46</c:v>
                </c:pt>
                <c:pt idx="3">
                  <c:v>45</c:v>
                </c:pt>
                <c:pt idx="4">
                  <c:v>59</c:v>
                </c:pt>
                <c:pt idx="5">
                  <c:v>43</c:v>
                </c:pt>
                <c:pt idx="6">
                  <c:v>44</c:v>
                </c:pt>
                <c:pt idx="7">
                  <c:v>42</c:v>
                </c:pt>
                <c:pt idx="8">
                  <c:v>52</c:v>
                </c:pt>
                <c:pt idx="9">
                  <c:v>53</c:v>
                </c:pt>
                <c:pt idx="10">
                  <c:v>57</c:v>
                </c:pt>
                <c:pt idx="11">
                  <c:v>48</c:v>
                </c:pt>
                <c:pt idx="12">
                  <c:v>47</c:v>
                </c:pt>
                <c:pt idx="13">
                  <c:v>53</c:v>
                </c:pt>
                <c:pt idx="14">
                  <c:v>55</c:v>
                </c:pt>
                <c:pt idx="15">
                  <c:v>64</c:v>
                </c:pt>
                <c:pt idx="16">
                  <c:v>62</c:v>
                </c:pt>
                <c:pt idx="17">
                  <c:v>57</c:v>
                </c:pt>
                <c:pt idx="18">
                  <c:v>59</c:v>
                </c:pt>
                <c:pt idx="19">
                  <c:v>44</c:v>
                </c:pt>
              </c:numCache>
            </c:numRef>
          </c:val>
          <c:smooth val="0"/>
          <c:extLst>
            <c:ext xmlns:c16="http://schemas.microsoft.com/office/drawing/2014/chart" uri="{C3380CC4-5D6E-409C-BE32-E72D297353CC}">
              <c16:uniqueId val="{00000003-C096-43E7-874C-D2A4D9B92842}"/>
            </c:ext>
          </c:extLst>
        </c:ser>
        <c:dLbls>
          <c:showLegendKey val="0"/>
          <c:showVal val="0"/>
          <c:showCatName val="0"/>
          <c:showSerName val="0"/>
          <c:showPercent val="0"/>
          <c:showBubbleSize val="0"/>
        </c:dLbls>
        <c:marker val="1"/>
        <c:smooth val="0"/>
        <c:axId val="151261919"/>
        <c:axId val="151262879"/>
      </c:lineChart>
      <c:catAx>
        <c:axId val="1512619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51262879"/>
        <c:crosses val="autoZero"/>
        <c:auto val="1"/>
        <c:lblAlgn val="ctr"/>
        <c:lblOffset val="100"/>
        <c:noMultiLvlLbl val="0"/>
      </c:catAx>
      <c:valAx>
        <c:axId val="15126287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5126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82828"/>
    </a:solidFill>
    <a:ln>
      <a:noFill/>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absolute">
    <xdr:from>
      <xdr:col>6</xdr:col>
      <xdr:colOff>566740</xdr:colOff>
      <xdr:row>10</xdr:row>
      <xdr:rowOff>155314</xdr:rowOff>
    </xdr:from>
    <xdr:to>
      <xdr:col>13</xdr:col>
      <xdr:colOff>361340</xdr:colOff>
      <xdr:row>22</xdr:row>
      <xdr:rowOff>39275</xdr:rowOff>
    </xdr:to>
    <xdr:graphicFrame macro="">
      <xdr:nvGraphicFramePr>
        <xdr:cNvPr id="4" name="Chart 3">
          <a:extLst>
            <a:ext uri="{FF2B5EF4-FFF2-40B4-BE49-F238E27FC236}">
              <a16:creationId xmlns:a16="http://schemas.microsoft.com/office/drawing/2014/main" id="{F1A8C374-6F7E-4416-AF2D-31B4CFC89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532900</xdr:colOff>
      <xdr:row>10</xdr:row>
      <xdr:rowOff>147012</xdr:rowOff>
    </xdr:from>
    <xdr:to>
      <xdr:col>19</xdr:col>
      <xdr:colOff>415300</xdr:colOff>
      <xdr:row>22</xdr:row>
      <xdr:rowOff>38485</xdr:rowOff>
    </xdr:to>
    <xdr:graphicFrame macro="">
      <xdr:nvGraphicFramePr>
        <xdr:cNvPr id="5" name="Chart 4">
          <a:extLst>
            <a:ext uri="{FF2B5EF4-FFF2-40B4-BE49-F238E27FC236}">
              <a16:creationId xmlns:a16="http://schemas.microsoft.com/office/drawing/2014/main" id="{CE5C4B3D-8B53-464A-8779-C920461B9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56576</xdr:colOff>
      <xdr:row>10</xdr:row>
      <xdr:rowOff>158861</xdr:rowOff>
    </xdr:from>
    <xdr:to>
      <xdr:col>6</xdr:col>
      <xdr:colOff>406115</xdr:colOff>
      <xdr:row>22</xdr:row>
      <xdr:rowOff>53519</xdr:rowOff>
    </xdr:to>
    <xdr:graphicFrame macro="">
      <xdr:nvGraphicFramePr>
        <xdr:cNvPr id="7" name="Chart 6">
          <a:extLst>
            <a:ext uri="{FF2B5EF4-FFF2-40B4-BE49-F238E27FC236}">
              <a16:creationId xmlns:a16="http://schemas.microsoft.com/office/drawing/2014/main" id="{F5B892B7-58B5-45C8-9BAF-07B72D021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0</xdr:colOff>
      <xdr:row>22</xdr:row>
      <xdr:rowOff>155477</xdr:rowOff>
    </xdr:from>
    <xdr:to>
      <xdr:col>6</xdr:col>
      <xdr:colOff>393639</xdr:colOff>
      <xdr:row>34</xdr:row>
      <xdr:rowOff>167031</xdr:rowOff>
    </xdr:to>
    <xdr:graphicFrame macro="">
      <xdr:nvGraphicFramePr>
        <xdr:cNvPr id="6" name="Chart 5">
          <a:extLst>
            <a:ext uri="{FF2B5EF4-FFF2-40B4-BE49-F238E27FC236}">
              <a16:creationId xmlns:a16="http://schemas.microsoft.com/office/drawing/2014/main" id="{609F960A-3576-4EB0-8BBA-22B961E3D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560904</xdr:colOff>
      <xdr:row>22</xdr:row>
      <xdr:rowOff>180376</xdr:rowOff>
    </xdr:from>
    <xdr:to>
      <xdr:col>13</xdr:col>
      <xdr:colOff>351534</xdr:colOff>
      <xdr:row>34</xdr:row>
      <xdr:rowOff>172477</xdr:rowOff>
    </xdr:to>
    <xdr:graphicFrame macro="">
      <xdr:nvGraphicFramePr>
        <xdr:cNvPr id="8" name="Chart 7">
          <a:extLst>
            <a:ext uri="{FF2B5EF4-FFF2-40B4-BE49-F238E27FC236}">
              <a16:creationId xmlns:a16="http://schemas.microsoft.com/office/drawing/2014/main" id="{6FCBFD86-C964-4ACA-8E42-BD5696D20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13</xdr:col>
      <xdr:colOff>546791</xdr:colOff>
      <xdr:row>23</xdr:row>
      <xdr:rowOff>12247</xdr:rowOff>
    </xdr:from>
    <xdr:to>
      <xdr:col>19</xdr:col>
      <xdr:colOff>417535</xdr:colOff>
      <xdr:row>34</xdr:row>
      <xdr:rowOff>175688</xdr:rowOff>
    </xdr:to>
    <xdr:graphicFrame macro="">
      <xdr:nvGraphicFramePr>
        <xdr:cNvPr id="9" name="Chart 8">
          <a:extLst>
            <a:ext uri="{FF2B5EF4-FFF2-40B4-BE49-F238E27FC236}">
              <a16:creationId xmlns:a16="http://schemas.microsoft.com/office/drawing/2014/main" id="{67D385D8-7C93-4FFA-BC87-85237A69B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67734</xdr:colOff>
      <xdr:row>0</xdr:row>
      <xdr:rowOff>76199</xdr:rowOff>
    </xdr:from>
    <xdr:to>
      <xdr:col>19</xdr:col>
      <xdr:colOff>441908</xdr:colOff>
      <xdr:row>3</xdr:row>
      <xdr:rowOff>118533</xdr:rowOff>
    </xdr:to>
    <xdr:sp macro="" textlink="">
      <xdr:nvSpPr>
        <xdr:cNvPr id="2" name="Rectangle: Rounded Corners 1">
          <a:extLst>
            <a:ext uri="{FF2B5EF4-FFF2-40B4-BE49-F238E27FC236}">
              <a16:creationId xmlns:a16="http://schemas.microsoft.com/office/drawing/2014/main" id="{A9D333F3-1169-02F0-B86B-356EEB7646C7}"/>
            </a:ext>
          </a:extLst>
        </xdr:cNvPr>
        <xdr:cNvSpPr/>
      </xdr:nvSpPr>
      <xdr:spPr>
        <a:xfrm>
          <a:off x="67734" y="76199"/>
          <a:ext cx="12185174" cy="5814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400" b="0" i="0">
              <a:solidFill>
                <a:schemeClr val="lt1"/>
              </a:solidFill>
              <a:effectLst/>
              <a:latin typeface="+mn-lt"/>
              <a:ea typeface="+mn-ea"/>
              <a:cs typeface="Arial" panose="020B0604020202020204" pitchFamily="34" charset="0"/>
            </a:rPr>
            <a:t>🏢 HR Analytics Dashboard</a:t>
          </a:r>
        </a:p>
        <a:p>
          <a:br>
            <a:rPr lang="en-IN"/>
          </a:br>
          <a:endParaRPr lang="en-IN" sz="1100"/>
        </a:p>
      </xdr:txBody>
    </xdr:sp>
    <xdr:clientData/>
  </xdr:twoCellAnchor>
  <xdr:oneCellAnchor>
    <xdr:from>
      <xdr:col>15</xdr:col>
      <xdr:colOff>272144</xdr:colOff>
      <xdr:row>1</xdr:row>
      <xdr:rowOff>62346</xdr:rowOff>
    </xdr:from>
    <xdr:ext cx="2567213" cy="290944"/>
    <xdr:sp macro="" textlink="">
      <xdr:nvSpPr>
        <xdr:cNvPr id="3" name="TextBox 2">
          <a:extLst>
            <a:ext uri="{FF2B5EF4-FFF2-40B4-BE49-F238E27FC236}">
              <a16:creationId xmlns:a16="http://schemas.microsoft.com/office/drawing/2014/main" id="{FFC5A1BF-8EF7-C085-FF84-760516C97A5C}"/>
            </a:ext>
          </a:extLst>
        </xdr:cNvPr>
        <xdr:cNvSpPr txBox="1"/>
      </xdr:nvSpPr>
      <xdr:spPr>
        <a:xfrm>
          <a:off x="9388930" y="243775"/>
          <a:ext cx="2567213" cy="2909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solidFill>
            </a:rPr>
            <a:t>1,000</a:t>
          </a:r>
          <a:r>
            <a:rPr lang="en-IN" sz="1100" baseline="0">
              <a:solidFill>
                <a:schemeClr val="bg1"/>
              </a:solidFill>
            </a:rPr>
            <a:t> Employees | Generated: Mar 2026</a:t>
          </a:r>
          <a:endParaRPr lang="en-IN" sz="1100">
            <a:solidFill>
              <a:schemeClr val="bg1"/>
            </a:solidFill>
          </a:endParaRPr>
        </a:p>
      </xdr:txBody>
    </xdr:sp>
    <xdr:clientData/>
  </xdr:oneCellAnchor>
  <xdr:twoCellAnchor>
    <xdr:from>
      <xdr:col>0</xdr:col>
      <xdr:colOff>93453</xdr:colOff>
      <xdr:row>4</xdr:row>
      <xdr:rowOff>79076</xdr:rowOff>
    </xdr:from>
    <xdr:to>
      <xdr:col>3</xdr:col>
      <xdr:colOff>560717</xdr:colOff>
      <xdr:row>6</xdr:row>
      <xdr:rowOff>14378</xdr:rowOff>
    </xdr:to>
    <xdr:sp macro="" textlink="">
      <xdr:nvSpPr>
        <xdr:cNvPr id="32" name="TextBox 31" hidden="1">
          <a:extLst>
            <a:ext uri="{FF2B5EF4-FFF2-40B4-BE49-F238E27FC236}">
              <a16:creationId xmlns:a16="http://schemas.microsoft.com/office/drawing/2014/main" id="{8C3E9010-D78A-A418-4E3C-D918A6B401C8}"/>
            </a:ext>
          </a:extLst>
        </xdr:cNvPr>
        <xdr:cNvSpPr txBox="1"/>
      </xdr:nvSpPr>
      <xdr:spPr>
        <a:xfrm>
          <a:off x="93453" y="797944"/>
          <a:ext cx="2300377" cy="2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solidFill>
                <a:schemeClr val="bg1"/>
              </a:solidFill>
            </a:rPr>
            <a:t>Total Employees</a:t>
          </a:r>
        </a:p>
      </xdr:txBody>
    </xdr:sp>
    <xdr:clientData/>
  </xdr:twoCellAnchor>
  <xdr:twoCellAnchor>
    <xdr:from>
      <xdr:col>0</xdr:col>
      <xdr:colOff>93453</xdr:colOff>
      <xdr:row>5</xdr:row>
      <xdr:rowOff>64698</xdr:rowOff>
    </xdr:from>
    <xdr:to>
      <xdr:col>3</xdr:col>
      <xdr:colOff>553529</xdr:colOff>
      <xdr:row>6</xdr:row>
      <xdr:rowOff>158151</xdr:rowOff>
    </xdr:to>
    <xdr:sp macro="" textlink="'Pivot Report '!A12">
      <xdr:nvSpPr>
        <xdr:cNvPr id="34" name="TextBox 33" hidden="1">
          <a:extLst>
            <a:ext uri="{FF2B5EF4-FFF2-40B4-BE49-F238E27FC236}">
              <a16:creationId xmlns:a16="http://schemas.microsoft.com/office/drawing/2014/main" id="{27CA9E88-0856-D558-0BDA-7EE918C639D6}"/>
            </a:ext>
          </a:extLst>
        </xdr:cNvPr>
        <xdr:cNvSpPr txBox="1"/>
      </xdr:nvSpPr>
      <xdr:spPr>
        <a:xfrm>
          <a:off x="93453" y="963283"/>
          <a:ext cx="2293189" cy="273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3B617F9-1027-4CEF-94BF-C2E091951D7A}" type="TxLink">
            <a:rPr lang="en-US" sz="1100" b="0" i="0" u="none" strike="noStrike">
              <a:solidFill>
                <a:srgbClr val="000000"/>
              </a:solidFill>
              <a:latin typeface="Calibri"/>
              <a:ea typeface="Calibri"/>
              <a:cs typeface="Calibri"/>
            </a:rPr>
            <a:pPr algn="ctr"/>
            <a:t> 1,000.00 </a:t>
          </a:fld>
          <a:endParaRPr lang="en-IN" sz="1100">
            <a:solidFill>
              <a:schemeClr val="bg1"/>
            </a:solidFill>
          </a:endParaRPr>
        </a:p>
      </xdr:txBody>
    </xdr:sp>
    <xdr:clientData/>
  </xdr:twoCellAnchor>
  <xdr:twoCellAnchor>
    <xdr:from>
      <xdr:col>0</xdr:col>
      <xdr:colOff>71887</xdr:colOff>
      <xdr:row>3</xdr:row>
      <xdr:rowOff>150961</xdr:rowOff>
    </xdr:from>
    <xdr:to>
      <xdr:col>4</xdr:col>
      <xdr:colOff>73051</xdr:colOff>
      <xdr:row>7</xdr:row>
      <xdr:rowOff>54427</xdr:rowOff>
    </xdr:to>
    <xdr:sp macro="" textlink="">
      <xdr:nvSpPr>
        <xdr:cNvPr id="10" name="Rectangle: Rounded Corners 9">
          <a:extLst>
            <a:ext uri="{FF2B5EF4-FFF2-40B4-BE49-F238E27FC236}">
              <a16:creationId xmlns:a16="http://schemas.microsoft.com/office/drawing/2014/main" id="{1EDA8BB2-4901-956B-CD05-D47BAAFB9CB1}"/>
            </a:ext>
          </a:extLst>
        </xdr:cNvPr>
        <xdr:cNvSpPr/>
      </xdr:nvSpPr>
      <xdr:spPr>
        <a:xfrm>
          <a:off x="71887" y="710798"/>
          <a:ext cx="2427123" cy="6499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4</xdr:col>
      <xdr:colOff>116831</xdr:colOff>
      <xdr:row>3</xdr:row>
      <xdr:rowOff>150961</xdr:rowOff>
    </xdr:from>
    <xdr:to>
      <xdr:col>8</xdr:col>
      <xdr:colOff>86264</xdr:colOff>
      <xdr:row>7</xdr:row>
      <xdr:rowOff>54427</xdr:rowOff>
    </xdr:to>
    <xdr:sp macro="" textlink="">
      <xdr:nvSpPr>
        <xdr:cNvPr id="11" name="Rectangle: Rounded Corners 10">
          <a:extLst>
            <a:ext uri="{FF2B5EF4-FFF2-40B4-BE49-F238E27FC236}">
              <a16:creationId xmlns:a16="http://schemas.microsoft.com/office/drawing/2014/main" id="{8D81A27E-CAC0-05D9-77FD-D3CFD79DC422}"/>
            </a:ext>
          </a:extLst>
        </xdr:cNvPr>
        <xdr:cNvSpPr/>
      </xdr:nvSpPr>
      <xdr:spPr>
        <a:xfrm>
          <a:off x="2542790" y="710798"/>
          <a:ext cx="2395392" cy="6499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64699</xdr:colOff>
      <xdr:row>7</xdr:row>
      <xdr:rowOff>116984</xdr:rowOff>
    </xdr:from>
    <xdr:to>
      <xdr:col>19</xdr:col>
      <xdr:colOff>402567</xdr:colOff>
      <xdr:row>10</xdr:row>
      <xdr:rowOff>108857</xdr:rowOff>
    </xdr:to>
    <xdr:sp macro="" textlink="">
      <xdr:nvSpPr>
        <xdr:cNvPr id="20" name="Rectangle: Rounded Corners 19">
          <a:extLst>
            <a:ext uri="{FF2B5EF4-FFF2-40B4-BE49-F238E27FC236}">
              <a16:creationId xmlns:a16="http://schemas.microsoft.com/office/drawing/2014/main" id="{FB2E5732-9208-ABFA-F06C-191D3C1F67E3}"/>
            </a:ext>
          </a:extLst>
        </xdr:cNvPr>
        <xdr:cNvSpPr/>
      </xdr:nvSpPr>
      <xdr:spPr>
        <a:xfrm>
          <a:off x="64699" y="1423270"/>
          <a:ext cx="12071113" cy="551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768429</xdr:colOff>
      <xdr:row>3</xdr:row>
      <xdr:rowOff>150961</xdr:rowOff>
    </xdr:from>
    <xdr:to>
      <xdr:col>19</xdr:col>
      <xdr:colOff>430724</xdr:colOff>
      <xdr:row>7</xdr:row>
      <xdr:rowOff>54427</xdr:rowOff>
    </xdr:to>
    <xdr:sp macro="" textlink="">
      <xdr:nvSpPr>
        <xdr:cNvPr id="18" name="Rectangle: Rounded Corners 17">
          <a:extLst>
            <a:ext uri="{FF2B5EF4-FFF2-40B4-BE49-F238E27FC236}">
              <a16:creationId xmlns:a16="http://schemas.microsoft.com/office/drawing/2014/main" id="{81A45A0A-F1F8-2918-7C05-462250647408}"/>
            </a:ext>
          </a:extLst>
        </xdr:cNvPr>
        <xdr:cNvSpPr/>
      </xdr:nvSpPr>
      <xdr:spPr>
        <a:xfrm>
          <a:off x="9865776" y="710798"/>
          <a:ext cx="2298193" cy="6499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0</xdr:col>
      <xdr:colOff>136585</xdr:colOff>
      <xdr:row>5</xdr:row>
      <xdr:rowOff>129395</xdr:rowOff>
    </xdr:from>
    <xdr:to>
      <xdr:col>3</xdr:col>
      <xdr:colOff>596661</xdr:colOff>
      <xdr:row>6</xdr:row>
      <xdr:rowOff>179716</xdr:rowOff>
    </xdr:to>
    <xdr:sp macro="" textlink="">
      <xdr:nvSpPr>
        <xdr:cNvPr id="36" name="TextBox 35">
          <a:extLst>
            <a:ext uri="{FF2B5EF4-FFF2-40B4-BE49-F238E27FC236}">
              <a16:creationId xmlns:a16="http://schemas.microsoft.com/office/drawing/2014/main" id="{C1E606F3-ABD9-875B-1923-1D1BD10B22D2}"/>
            </a:ext>
          </a:extLst>
        </xdr:cNvPr>
        <xdr:cNvSpPr txBox="1"/>
      </xdr:nvSpPr>
      <xdr:spPr>
        <a:xfrm>
          <a:off x="136585" y="1027980"/>
          <a:ext cx="2293189" cy="23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solidFill>
                <a:schemeClr val="bg1"/>
              </a:solidFill>
            </a:rPr>
            <a:t>Total</a:t>
          </a:r>
          <a:r>
            <a:rPr lang="en-IN" sz="1400" baseline="0">
              <a:solidFill>
                <a:schemeClr val="bg1"/>
              </a:solidFill>
            </a:rPr>
            <a:t> Employees</a:t>
          </a:r>
          <a:endParaRPr lang="en-IN" sz="1400">
            <a:solidFill>
              <a:schemeClr val="bg1"/>
            </a:solidFill>
          </a:endParaRPr>
        </a:p>
      </xdr:txBody>
    </xdr:sp>
    <xdr:clientData/>
  </xdr:twoCellAnchor>
  <xdr:twoCellAnchor editAs="absolute">
    <xdr:from>
      <xdr:col>1</xdr:col>
      <xdr:colOff>114388</xdr:colOff>
      <xdr:row>4</xdr:row>
      <xdr:rowOff>107328</xdr:rowOff>
    </xdr:from>
    <xdr:to>
      <xdr:col>2</xdr:col>
      <xdr:colOff>578878</xdr:colOff>
      <xdr:row>5</xdr:row>
      <xdr:rowOff>164837</xdr:rowOff>
    </xdr:to>
    <xdr:sp macro="" textlink="'Pivot Report '!A12">
      <xdr:nvSpPr>
        <xdr:cNvPr id="38" name="TextBox 37">
          <a:extLst>
            <a:ext uri="{FF2B5EF4-FFF2-40B4-BE49-F238E27FC236}">
              <a16:creationId xmlns:a16="http://schemas.microsoft.com/office/drawing/2014/main" id="{3539DBDB-4E2C-FBE5-34AD-DE3CB6DFAB2D}"/>
            </a:ext>
          </a:extLst>
        </xdr:cNvPr>
        <xdr:cNvSpPr txBox="1"/>
      </xdr:nvSpPr>
      <xdr:spPr>
        <a:xfrm>
          <a:off x="722651" y="829223"/>
          <a:ext cx="1072753" cy="237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1C0E50C-E564-4758-A9FF-7F3B7E439596}" type="TxLink">
            <a:rPr lang="en-US" sz="1200" b="0" i="0" u="none" strike="noStrike">
              <a:solidFill>
                <a:schemeClr val="bg1"/>
              </a:solidFill>
              <a:latin typeface="Calibri"/>
              <a:ea typeface="Calibri"/>
              <a:cs typeface="Calibri"/>
            </a:rPr>
            <a:pPr algn="ctr"/>
            <a:t> 1,000.00 </a:t>
          </a:fld>
          <a:endParaRPr lang="en-IN" sz="1600">
            <a:solidFill>
              <a:schemeClr val="bg1"/>
            </a:solidFill>
          </a:endParaRPr>
        </a:p>
      </xdr:txBody>
    </xdr:sp>
    <xdr:clientData/>
  </xdr:twoCellAnchor>
  <xdr:twoCellAnchor editAs="oneCell">
    <xdr:from>
      <xdr:col>1</xdr:col>
      <xdr:colOff>165340</xdr:colOff>
      <xdr:row>4</xdr:row>
      <xdr:rowOff>73325</xdr:rowOff>
    </xdr:from>
    <xdr:to>
      <xdr:col>1</xdr:col>
      <xdr:colOff>438509</xdr:colOff>
      <xdr:row>5</xdr:row>
      <xdr:rowOff>166777</xdr:rowOff>
    </xdr:to>
    <xdr:pic>
      <xdr:nvPicPr>
        <xdr:cNvPr id="40" name="Graphic 39" descr="Users with solid fill">
          <a:extLst>
            <a:ext uri="{FF2B5EF4-FFF2-40B4-BE49-F238E27FC236}">
              <a16:creationId xmlns:a16="http://schemas.microsoft.com/office/drawing/2014/main" id="{64F53729-B470-CD05-5B7F-163E87BA165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6378" y="792193"/>
          <a:ext cx="273169" cy="273169"/>
        </a:xfrm>
        <a:prstGeom prst="rect">
          <a:avLst/>
        </a:prstGeom>
      </xdr:spPr>
    </xdr:pic>
    <xdr:clientData/>
  </xdr:twoCellAnchor>
  <xdr:twoCellAnchor editAs="absolute">
    <xdr:from>
      <xdr:col>4</xdr:col>
      <xdr:colOff>186905</xdr:colOff>
      <xdr:row>5</xdr:row>
      <xdr:rowOff>129395</xdr:rowOff>
    </xdr:from>
    <xdr:to>
      <xdr:col>8</xdr:col>
      <xdr:colOff>35943</xdr:colOff>
      <xdr:row>6</xdr:row>
      <xdr:rowOff>179716</xdr:rowOff>
    </xdr:to>
    <xdr:sp macro="" textlink="">
      <xdr:nvSpPr>
        <xdr:cNvPr id="42" name="TextBox 41">
          <a:extLst>
            <a:ext uri="{FF2B5EF4-FFF2-40B4-BE49-F238E27FC236}">
              <a16:creationId xmlns:a16="http://schemas.microsoft.com/office/drawing/2014/main" id="{506021A8-583B-A789-D070-6B4DB4972486}"/>
            </a:ext>
          </a:extLst>
        </xdr:cNvPr>
        <xdr:cNvSpPr txBox="1"/>
      </xdr:nvSpPr>
      <xdr:spPr>
        <a:xfrm>
          <a:off x="2631056" y="1027980"/>
          <a:ext cx="2293189" cy="23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solidFill>
                <a:schemeClr val="bg1"/>
              </a:solidFill>
            </a:rPr>
            <a:t>Active Employees</a:t>
          </a:r>
          <a:endParaRPr lang="en-IN" sz="1400">
            <a:solidFill>
              <a:schemeClr val="bg1"/>
            </a:solidFill>
          </a:endParaRPr>
        </a:p>
      </xdr:txBody>
    </xdr:sp>
    <xdr:clientData/>
  </xdr:twoCellAnchor>
  <xdr:twoCellAnchor editAs="oneCell">
    <xdr:from>
      <xdr:col>5</xdr:col>
      <xdr:colOff>359434</xdr:colOff>
      <xdr:row>4</xdr:row>
      <xdr:rowOff>66135</xdr:rowOff>
    </xdr:from>
    <xdr:to>
      <xdr:col>5</xdr:col>
      <xdr:colOff>603849</xdr:colOff>
      <xdr:row>5</xdr:row>
      <xdr:rowOff>130833</xdr:rowOff>
    </xdr:to>
    <xdr:pic>
      <xdr:nvPicPr>
        <xdr:cNvPr id="45" name="Graphic 44" descr="Checkmark with solid fill">
          <a:extLst>
            <a:ext uri="{FF2B5EF4-FFF2-40B4-BE49-F238E27FC236}">
              <a16:creationId xmlns:a16="http://schemas.microsoft.com/office/drawing/2014/main" id="{6967007F-7D1B-77B9-CD2C-5B3550F54D3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14623" y="785003"/>
          <a:ext cx="244415" cy="244415"/>
        </a:xfrm>
        <a:prstGeom prst="rect">
          <a:avLst/>
        </a:prstGeom>
      </xdr:spPr>
    </xdr:pic>
    <xdr:clientData/>
  </xdr:twoCellAnchor>
  <xdr:twoCellAnchor>
    <xdr:from>
      <xdr:col>8</xdr:col>
      <xdr:colOff>124020</xdr:colOff>
      <xdr:row>3</xdr:row>
      <xdr:rowOff>150961</xdr:rowOff>
    </xdr:from>
    <xdr:to>
      <xdr:col>12</xdr:col>
      <xdr:colOff>93453</xdr:colOff>
      <xdr:row>7</xdr:row>
      <xdr:rowOff>54427</xdr:rowOff>
    </xdr:to>
    <xdr:sp macro="" textlink="">
      <xdr:nvSpPr>
        <xdr:cNvPr id="46" name="Rectangle: Rounded Corners 45">
          <a:extLst>
            <a:ext uri="{FF2B5EF4-FFF2-40B4-BE49-F238E27FC236}">
              <a16:creationId xmlns:a16="http://schemas.microsoft.com/office/drawing/2014/main" id="{A9DE78F4-D820-748B-5AFB-A097474F41CA}"/>
            </a:ext>
          </a:extLst>
        </xdr:cNvPr>
        <xdr:cNvSpPr/>
      </xdr:nvSpPr>
      <xdr:spPr>
        <a:xfrm>
          <a:off x="4975938" y="710798"/>
          <a:ext cx="2395393" cy="6499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194094</xdr:colOff>
      <xdr:row>5</xdr:row>
      <xdr:rowOff>129395</xdr:rowOff>
    </xdr:from>
    <xdr:to>
      <xdr:col>12</xdr:col>
      <xdr:colOff>43132</xdr:colOff>
      <xdr:row>6</xdr:row>
      <xdr:rowOff>179716</xdr:rowOff>
    </xdr:to>
    <xdr:sp macro="" textlink="">
      <xdr:nvSpPr>
        <xdr:cNvPr id="47" name="TextBox 46">
          <a:extLst>
            <a:ext uri="{FF2B5EF4-FFF2-40B4-BE49-F238E27FC236}">
              <a16:creationId xmlns:a16="http://schemas.microsoft.com/office/drawing/2014/main" id="{4DC6B05A-637A-498A-047F-D372160F8253}"/>
            </a:ext>
          </a:extLst>
        </xdr:cNvPr>
        <xdr:cNvSpPr txBox="1"/>
      </xdr:nvSpPr>
      <xdr:spPr>
        <a:xfrm>
          <a:off x="5082396" y="1027980"/>
          <a:ext cx="2293189" cy="23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solidFill>
                <a:schemeClr val="bg1"/>
              </a:solidFill>
            </a:rPr>
            <a:t>Average Salary</a:t>
          </a:r>
          <a:endParaRPr lang="en-IN" sz="1400">
            <a:solidFill>
              <a:schemeClr val="bg1"/>
            </a:solidFill>
          </a:endParaRPr>
        </a:p>
      </xdr:txBody>
    </xdr:sp>
    <xdr:clientData/>
  </xdr:twoCellAnchor>
  <xdr:twoCellAnchor editAs="absolute">
    <xdr:from>
      <xdr:col>9</xdr:col>
      <xdr:colOff>258792</xdr:colOff>
      <xdr:row>4</xdr:row>
      <xdr:rowOff>100644</xdr:rowOff>
    </xdr:from>
    <xdr:to>
      <xdr:col>11</xdr:col>
      <xdr:colOff>115019</xdr:colOff>
      <xdr:row>5</xdr:row>
      <xdr:rowOff>158153</xdr:rowOff>
    </xdr:to>
    <xdr:sp macro="" textlink="'Pivot Report '!A15">
      <xdr:nvSpPr>
        <xdr:cNvPr id="48" name="TextBox 47">
          <a:extLst>
            <a:ext uri="{FF2B5EF4-FFF2-40B4-BE49-F238E27FC236}">
              <a16:creationId xmlns:a16="http://schemas.microsoft.com/office/drawing/2014/main" id="{6B854D95-2111-1B39-B0BD-60A003E3ADCF}"/>
            </a:ext>
          </a:extLst>
        </xdr:cNvPr>
        <xdr:cNvSpPr txBox="1"/>
      </xdr:nvSpPr>
      <xdr:spPr>
        <a:xfrm>
          <a:off x="5758132" y="819512"/>
          <a:ext cx="1078302" cy="23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F328275-2E56-429C-B53C-994A051F3CD1}" type="TxLink">
            <a:rPr lang="en-US" sz="1200" b="0" i="0" u="none" strike="noStrike">
              <a:solidFill>
                <a:schemeClr val="bg1"/>
              </a:solidFill>
              <a:latin typeface="Calibri"/>
              <a:ea typeface="Calibri"/>
              <a:cs typeface="Calibri"/>
            </a:rPr>
            <a:pPr algn="ctr"/>
            <a:t>75441.0</a:t>
          </a:fld>
          <a:endParaRPr lang="en-IN" sz="1800">
            <a:solidFill>
              <a:schemeClr val="bg1"/>
            </a:solidFill>
          </a:endParaRPr>
        </a:p>
      </xdr:txBody>
    </xdr:sp>
    <xdr:clientData/>
  </xdr:twoCellAnchor>
  <xdr:twoCellAnchor editAs="oneCell">
    <xdr:from>
      <xdr:col>9</xdr:col>
      <xdr:colOff>188537</xdr:colOff>
      <xdr:row>4</xdr:row>
      <xdr:rowOff>77751</xdr:rowOff>
    </xdr:from>
    <xdr:to>
      <xdr:col>9</xdr:col>
      <xdr:colOff>455631</xdr:colOff>
      <xdr:row>5</xdr:row>
      <xdr:rowOff>165072</xdr:rowOff>
    </xdr:to>
    <xdr:pic>
      <xdr:nvPicPr>
        <xdr:cNvPr id="50" name="Graphic 49" descr="Money with solid fill">
          <a:extLst>
            <a:ext uri="{FF2B5EF4-FFF2-40B4-BE49-F238E27FC236}">
              <a16:creationId xmlns:a16="http://schemas.microsoft.com/office/drawing/2014/main" id="{970565A1-DEF2-87A9-12AB-EE6D6430874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03217" y="800473"/>
          <a:ext cx="267094" cy="268001"/>
        </a:xfrm>
        <a:prstGeom prst="rect">
          <a:avLst/>
        </a:prstGeom>
      </xdr:spPr>
    </xdr:pic>
    <xdr:clientData/>
  </xdr:twoCellAnchor>
  <xdr:twoCellAnchor>
    <xdr:from>
      <xdr:col>12</xdr:col>
      <xdr:colOff>150758</xdr:colOff>
      <xdr:row>3</xdr:row>
      <xdr:rowOff>150961</xdr:rowOff>
    </xdr:from>
    <xdr:to>
      <xdr:col>15</xdr:col>
      <xdr:colOff>735137</xdr:colOff>
      <xdr:row>7</xdr:row>
      <xdr:rowOff>54427</xdr:rowOff>
    </xdr:to>
    <xdr:sp macro="" textlink="">
      <xdr:nvSpPr>
        <xdr:cNvPr id="57" name="Rectangle: Rounded Corners 56">
          <a:extLst>
            <a:ext uri="{FF2B5EF4-FFF2-40B4-BE49-F238E27FC236}">
              <a16:creationId xmlns:a16="http://schemas.microsoft.com/office/drawing/2014/main" id="{853EC5EC-9CD4-20EA-B4AE-3E20846E634B}"/>
            </a:ext>
          </a:extLst>
        </xdr:cNvPr>
        <xdr:cNvSpPr/>
      </xdr:nvSpPr>
      <xdr:spPr>
        <a:xfrm>
          <a:off x="7428636" y="710798"/>
          <a:ext cx="2403848" cy="6499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220832</xdr:colOff>
      <xdr:row>5</xdr:row>
      <xdr:rowOff>129395</xdr:rowOff>
    </xdr:from>
    <xdr:to>
      <xdr:col>15</xdr:col>
      <xdr:colOff>684816</xdr:colOff>
      <xdr:row>6</xdr:row>
      <xdr:rowOff>179716</xdr:rowOff>
    </xdr:to>
    <xdr:sp macro="" textlink="">
      <xdr:nvSpPr>
        <xdr:cNvPr id="58" name="TextBox 57">
          <a:extLst>
            <a:ext uri="{FF2B5EF4-FFF2-40B4-BE49-F238E27FC236}">
              <a16:creationId xmlns:a16="http://schemas.microsoft.com/office/drawing/2014/main" id="{4D369874-3DF0-4F85-7A52-8875012F2483}"/>
            </a:ext>
          </a:extLst>
        </xdr:cNvPr>
        <xdr:cNvSpPr txBox="1"/>
      </xdr:nvSpPr>
      <xdr:spPr>
        <a:xfrm>
          <a:off x="7600200" y="1065184"/>
          <a:ext cx="2308827" cy="237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solidFill>
                <a:schemeClr val="bg1"/>
              </a:solidFill>
            </a:rPr>
            <a:t>Average Tenure</a:t>
          </a:r>
          <a:endParaRPr lang="en-IN" sz="1400">
            <a:solidFill>
              <a:schemeClr val="bg1"/>
            </a:solidFill>
          </a:endParaRPr>
        </a:p>
      </xdr:txBody>
    </xdr:sp>
    <xdr:clientData/>
  </xdr:twoCellAnchor>
  <xdr:twoCellAnchor editAs="absolute">
    <xdr:from>
      <xdr:col>13</xdr:col>
      <xdr:colOff>285529</xdr:colOff>
      <xdr:row>4</xdr:row>
      <xdr:rowOff>100644</xdr:rowOff>
    </xdr:from>
    <xdr:to>
      <xdr:col>15</xdr:col>
      <xdr:colOff>141756</xdr:colOff>
      <xdr:row>5</xdr:row>
      <xdr:rowOff>158153</xdr:rowOff>
    </xdr:to>
    <xdr:sp macro="" textlink="'Pivot Report '!A21">
      <xdr:nvSpPr>
        <xdr:cNvPr id="59" name="TextBox 58">
          <a:extLst>
            <a:ext uri="{FF2B5EF4-FFF2-40B4-BE49-F238E27FC236}">
              <a16:creationId xmlns:a16="http://schemas.microsoft.com/office/drawing/2014/main" id="{F6AD9FA5-A4F4-66AF-A49F-A22C1F7895BA}"/>
            </a:ext>
          </a:extLst>
        </xdr:cNvPr>
        <xdr:cNvSpPr txBox="1"/>
      </xdr:nvSpPr>
      <xdr:spPr>
        <a:xfrm>
          <a:off x="8279845" y="849276"/>
          <a:ext cx="1086122" cy="244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31F4D43-9825-4F09-8C8A-946464CFBC46}" type="TxLink">
            <a:rPr lang="en-US" sz="1200" b="0" i="0" u="none" strike="noStrike">
              <a:solidFill>
                <a:schemeClr val="bg1"/>
              </a:solidFill>
              <a:latin typeface="Calibri"/>
              <a:ea typeface="Calibri"/>
              <a:cs typeface="Calibri"/>
            </a:rPr>
            <a:pPr algn="ctr"/>
            <a:t>5.1</a:t>
          </a:fld>
          <a:endParaRPr lang="en-IN" sz="2000">
            <a:solidFill>
              <a:schemeClr val="bg1"/>
            </a:solidFill>
          </a:endParaRPr>
        </a:p>
      </xdr:txBody>
    </xdr:sp>
    <xdr:clientData/>
  </xdr:twoCellAnchor>
  <xdr:twoCellAnchor editAs="absolute">
    <xdr:from>
      <xdr:col>16</xdr:col>
      <xdr:colOff>47043</xdr:colOff>
      <xdr:row>5</xdr:row>
      <xdr:rowOff>129395</xdr:rowOff>
    </xdr:from>
    <xdr:to>
      <xdr:col>19</xdr:col>
      <xdr:colOff>511028</xdr:colOff>
      <xdr:row>6</xdr:row>
      <xdr:rowOff>179716</xdr:rowOff>
    </xdr:to>
    <xdr:sp macro="" textlink="">
      <xdr:nvSpPr>
        <xdr:cNvPr id="61" name="TextBox 60">
          <a:extLst>
            <a:ext uri="{FF2B5EF4-FFF2-40B4-BE49-F238E27FC236}">
              <a16:creationId xmlns:a16="http://schemas.microsoft.com/office/drawing/2014/main" id="{B38A3514-EE31-F344-BDD3-0C34AC2DF9B7}"/>
            </a:ext>
          </a:extLst>
        </xdr:cNvPr>
        <xdr:cNvSpPr txBox="1"/>
      </xdr:nvSpPr>
      <xdr:spPr>
        <a:xfrm>
          <a:off x="10086727" y="1065184"/>
          <a:ext cx="2308827" cy="237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solidFill>
                <a:schemeClr val="bg1"/>
              </a:solidFill>
            </a:rPr>
            <a:t>Average Performance</a:t>
          </a:r>
          <a:endParaRPr lang="en-IN" sz="1400">
            <a:solidFill>
              <a:schemeClr val="bg1"/>
            </a:solidFill>
          </a:endParaRPr>
        </a:p>
      </xdr:txBody>
    </xdr:sp>
    <xdr:clientData/>
  </xdr:twoCellAnchor>
  <xdr:twoCellAnchor editAs="absolute">
    <xdr:from>
      <xdr:col>17</xdr:col>
      <xdr:colOff>9616</xdr:colOff>
      <xdr:row>4</xdr:row>
      <xdr:rowOff>92787</xdr:rowOff>
    </xdr:from>
    <xdr:to>
      <xdr:col>18</xdr:col>
      <xdr:colOff>480791</xdr:colOff>
      <xdr:row>5</xdr:row>
      <xdr:rowOff>150296</xdr:rowOff>
    </xdr:to>
    <xdr:sp macro="" textlink="'Pivot Report '!A18">
      <xdr:nvSpPr>
        <xdr:cNvPr id="62" name="TextBox 61">
          <a:extLst>
            <a:ext uri="{FF2B5EF4-FFF2-40B4-BE49-F238E27FC236}">
              <a16:creationId xmlns:a16="http://schemas.microsoft.com/office/drawing/2014/main" id="{7F2C24BA-EA87-E74C-4229-09BABD12137C}"/>
            </a:ext>
          </a:extLst>
        </xdr:cNvPr>
        <xdr:cNvSpPr txBox="1"/>
      </xdr:nvSpPr>
      <xdr:spPr>
        <a:xfrm>
          <a:off x="10630482" y="815509"/>
          <a:ext cx="1083917" cy="238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133139B-2B87-42A5-9E06-66D41D4472B8}" type="TxLink">
            <a:rPr lang="en-US" sz="1100" b="0" i="0" u="none" strike="noStrike">
              <a:solidFill>
                <a:schemeClr val="bg1"/>
              </a:solidFill>
              <a:latin typeface="Calibri"/>
              <a:ea typeface="Calibri"/>
              <a:cs typeface="Calibri"/>
            </a:rPr>
            <a:pPr algn="ctr"/>
            <a:t>3.5</a:t>
          </a:fld>
          <a:endParaRPr lang="en-IN" sz="2000">
            <a:solidFill>
              <a:schemeClr val="bg1"/>
            </a:solidFill>
          </a:endParaRPr>
        </a:p>
      </xdr:txBody>
    </xdr:sp>
    <xdr:clientData/>
  </xdr:twoCellAnchor>
  <xdr:twoCellAnchor editAs="oneCell">
    <xdr:from>
      <xdr:col>13</xdr:col>
      <xdr:colOff>296887</xdr:colOff>
      <xdr:row>4</xdr:row>
      <xdr:rowOff>11871</xdr:rowOff>
    </xdr:from>
    <xdr:to>
      <xdr:col>14</xdr:col>
      <xdr:colOff>7856</xdr:colOff>
      <xdr:row>5</xdr:row>
      <xdr:rowOff>156003</xdr:rowOff>
    </xdr:to>
    <xdr:pic>
      <xdr:nvPicPr>
        <xdr:cNvPr id="52" name="Graphic 51" descr="Daily calendar with solid fill">
          <a:extLst>
            <a:ext uri="{FF2B5EF4-FFF2-40B4-BE49-F238E27FC236}">
              <a16:creationId xmlns:a16="http://schemas.microsoft.com/office/drawing/2014/main" id="{17050C8C-8A68-26A6-A81E-17897CC881B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262536" y="734593"/>
          <a:ext cx="323712" cy="324812"/>
        </a:xfrm>
        <a:prstGeom prst="rect">
          <a:avLst/>
        </a:prstGeom>
      </xdr:spPr>
    </xdr:pic>
    <xdr:clientData/>
  </xdr:twoCellAnchor>
  <xdr:twoCellAnchor editAs="oneCell">
    <xdr:from>
      <xdr:col>17</xdr:col>
      <xdr:colOff>129028</xdr:colOff>
      <xdr:row>4</xdr:row>
      <xdr:rowOff>62463</xdr:rowOff>
    </xdr:from>
    <xdr:to>
      <xdr:col>17</xdr:col>
      <xdr:colOff>400639</xdr:colOff>
      <xdr:row>5</xdr:row>
      <xdr:rowOff>153810</xdr:rowOff>
    </xdr:to>
    <xdr:pic>
      <xdr:nvPicPr>
        <xdr:cNvPr id="56" name="Graphic 55" descr="Diamond with solid fill">
          <a:extLst>
            <a:ext uri="{FF2B5EF4-FFF2-40B4-BE49-F238E27FC236}">
              <a16:creationId xmlns:a16="http://schemas.microsoft.com/office/drawing/2014/main" id="{2101D6B6-0EE0-A416-8834-001D0CAD67E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749894" y="785185"/>
          <a:ext cx="271611" cy="272027"/>
        </a:xfrm>
        <a:prstGeom prst="rect">
          <a:avLst/>
        </a:prstGeom>
      </xdr:spPr>
    </xdr:pic>
    <xdr:clientData/>
  </xdr:twoCellAnchor>
  <xdr:twoCellAnchor editAs="absolute">
    <xdr:from>
      <xdr:col>5</xdr:col>
      <xdr:colOff>201283</xdr:colOff>
      <xdr:row>4</xdr:row>
      <xdr:rowOff>100644</xdr:rowOff>
    </xdr:from>
    <xdr:to>
      <xdr:col>7</xdr:col>
      <xdr:colOff>57510</xdr:colOff>
      <xdr:row>5</xdr:row>
      <xdr:rowOff>158153</xdr:rowOff>
    </xdr:to>
    <xdr:sp macro="" textlink="'Pivot Report '!N3">
      <xdr:nvSpPr>
        <xdr:cNvPr id="67" name="TextBox 66">
          <a:extLst>
            <a:ext uri="{FF2B5EF4-FFF2-40B4-BE49-F238E27FC236}">
              <a16:creationId xmlns:a16="http://schemas.microsoft.com/office/drawing/2014/main" id="{5049F07C-9447-F7A6-8F86-3AA6B0BB967E}"/>
            </a:ext>
          </a:extLst>
        </xdr:cNvPr>
        <xdr:cNvSpPr txBox="1"/>
      </xdr:nvSpPr>
      <xdr:spPr>
        <a:xfrm>
          <a:off x="3264994" y="823366"/>
          <a:ext cx="1081712" cy="238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CB170C1-7001-481B-80E2-A6C194A5E030}" type="TxLink">
            <a:rPr lang="en-US" sz="1100" b="0" i="0" u="none" strike="noStrike">
              <a:solidFill>
                <a:schemeClr val="bg1"/>
              </a:solidFill>
              <a:latin typeface="Calibri"/>
              <a:ea typeface="Calibri"/>
              <a:cs typeface="Calibri"/>
            </a:rPr>
            <a:pPr algn="ctr"/>
            <a:t>329</a:t>
          </a:fld>
          <a:endParaRPr lang="en-US">
            <a:solidFill>
              <a:schemeClr val="bg1"/>
            </a:solidFill>
          </a:endParaRPr>
        </a:p>
      </xdr:txBody>
    </xdr:sp>
    <xdr:clientData/>
  </xdr:twoCellAnchor>
  <xdr:twoCellAnchor editAs="oneCell">
    <xdr:from>
      <xdr:col>0</xdr:col>
      <xdr:colOff>110060</xdr:colOff>
      <xdr:row>7</xdr:row>
      <xdr:rowOff>179559</xdr:rowOff>
    </xdr:from>
    <xdr:to>
      <xdr:col>19</xdr:col>
      <xdr:colOff>345729</xdr:colOff>
      <xdr:row>10</xdr:row>
      <xdr:rowOff>31103</xdr:rowOff>
    </xdr:to>
    <mc:AlternateContent xmlns:mc="http://schemas.openxmlformats.org/markup-compatibility/2006">
      <mc:Choice xmlns:a14="http://schemas.microsoft.com/office/drawing/2010/main" Requires="a14">
        <xdr:graphicFrame macro="">
          <xdr:nvGraphicFramePr>
            <xdr:cNvPr id="68" name="Date (Month)">
              <a:extLst>
                <a:ext uri="{FF2B5EF4-FFF2-40B4-BE49-F238E27FC236}">
                  <a16:creationId xmlns:a16="http://schemas.microsoft.com/office/drawing/2014/main" id="{4AD7F173-B777-4D6E-A80F-45E12798D1F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10060" y="1442875"/>
              <a:ext cx="12056695" cy="392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461211</xdr:colOff>
      <xdr:row>0</xdr:row>
      <xdr:rowOff>0</xdr:rowOff>
    </xdr:from>
    <xdr:to>
      <xdr:col>21</xdr:col>
      <xdr:colOff>170448</xdr:colOff>
      <xdr:row>35</xdr:row>
      <xdr:rowOff>91421</xdr:rowOff>
    </xdr:to>
    <mc:AlternateContent xmlns:mc="http://schemas.openxmlformats.org/markup-compatibility/2006">
      <mc:Choice xmlns:a14="http://schemas.microsoft.com/office/drawing/2010/main" Requires="a14">
        <xdr:graphicFrame macro="">
          <xdr:nvGraphicFramePr>
            <xdr:cNvPr id="12" name="Date (Year)">
              <a:extLst>
                <a:ext uri="{FF2B5EF4-FFF2-40B4-BE49-F238E27FC236}">
                  <a16:creationId xmlns:a16="http://schemas.microsoft.com/office/drawing/2014/main" id="{F3ACA5A0-A485-47FD-A081-5934E056CF9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2282237" y="0"/>
              <a:ext cx="932448" cy="64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1782404" createdVersion="8" refreshedVersion="8" minRefreshableVersion="3" recordCount="0" supportSubquery="1" supportAdvancedDrill="1" xr:uid="{0631EB6C-731D-4C84-9F1E-D277D1C140D9}">
  <cacheSource type="external" connectionId="3"/>
  <cacheFields count="1">
    <cacheField name="[Calendar_Table].[Date (Year)].[Date (Year)]" caption="Date (Year)" numFmtId="0" hierarchy="3" level="1">
      <sharedItems count="11">
        <s v="2016"/>
        <s v="2017"/>
        <s v="2018"/>
        <s v="2019"/>
        <s v="2020"/>
        <s v="2021"/>
        <s v="2022"/>
        <s v="2023"/>
        <s v="2024"/>
        <s v="2025"/>
        <s v="2026"/>
      </sharedItems>
    </cacheField>
  </cacheFields>
  <cacheHierarchies count="55">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2"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2"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2" memberValueDatatype="130" unbalanced="0"/>
    <cacheHierarchy uniqueName="[employees_1000_records].[gender]" caption="gender" attribute="1" defaultMemberUniqueName="[employees_1000_records].[gender].[All]" allUniqueName="[employees_1000_records].[gender].[All]" dimensionUniqueName="[employees_1000_records]" displayFolder="" count="2"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2" memberValueDatatype="7" unbalanced="0"/>
    <cacheHierarchy uniqueName="[employees_1000_records].[email]" caption="email" attribute="1" defaultMemberUniqueName="[employees_1000_records].[email].[All]" allUniqueName="[employees_1000_records].[email].[All]" dimensionUniqueName="[employees_1000_records]" displayFolder="" count="2" memberValueDatatype="130" unbalanced="0"/>
    <cacheHierarchy uniqueName="[employees_1000_records].[phone]" caption="phone" attribute="1" defaultMemberUniqueName="[employees_1000_records].[phone].[All]" allUniqueName="[employees_1000_records].[phone].[All]" dimensionUniqueName="[employees_1000_records]" displayFolder="" count="2"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2"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2" memberValueDatatype="130" unbalanced="0"/>
    <cacheHierarchy uniqueName="[employees_1000_records].[salary]" caption="salary" attribute="1" defaultMemberUniqueName="[employees_1000_records].[salary].[All]" allUniqueName="[employees_1000_records].[salary].[All]" dimensionUniqueName="[employees_1000_records]" displayFolder="" count="2" memberValueDatatype="20" unbalanced="0"/>
    <cacheHierarchy uniqueName="[employees_1000_records].[bonus]" caption="bonus" attribute="1" defaultMemberUniqueName="[employees_1000_records].[bonus].[All]" allUniqueName="[employees_1000_records].[bonus].[All]" dimensionUniqueName="[employees_1000_records]" displayFolder="" count="2"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2"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2" memberValueDatatype="130" unbalanced="0"/>
    <cacheHierarchy uniqueName="[employees_1000_records].[city]" caption="city" attribute="1" defaultMemberUniqueName="[employees_1000_records].[city].[All]" allUniqueName="[employees_1000_records].[city].[All]" dimensionUniqueName="[employees_1000_records]" displayFolder="" count="2"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2"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2"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2"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2"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2" memberValueDatatype="20" unbalanced="0"/>
    <cacheHierarchy uniqueName="[employees_1000_records].[Age]" caption="Age" attribute="1" defaultMemberUniqueName="[employees_1000_records].[Age].[All]" allUniqueName="[employees_1000_records].[Age].[All]" dimensionUniqueName="[employees_1000_records]" displayFolder="" count="2"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2"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2"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2"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2"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2129627" createdVersion="8" refreshedVersion="8" minRefreshableVersion="3" recordCount="0" supportSubquery="1" supportAdvancedDrill="1" xr:uid="{F242CC3B-F41A-4315-BDFC-CED89EE7450D}">
  <cacheSource type="external" connectionId="3"/>
  <cacheFields count="3">
    <cacheField name="[employees_1000_records].[department_id].[department_id]" caption="department_id" numFmtId="0" hierarchy="20" level="1">
      <sharedItems count="5">
        <s v="Admin"/>
        <s v="Finance"/>
        <s v="IT"/>
        <s v="Marketing"/>
        <s v="Sales"/>
      </sharedItems>
    </cacheField>
    <cacheField name="[Measures].[Distinct Count of Employee ID]" caption="Distinct Count of Employee ID" numFmtId="0" hierarchy="42" level="32767"/>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2" memberValueDatatype="130" unbalanced="0">
      <fieldsUsage count="2">
        <fieldUsage x="-1"/>
        <fieldUsage x="0"/>
      </fieldsUsage>
    </cacheHierarchy>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2245373" createdVersion="8" refreshedVersion="8" minRefreshableVersion="3" recordCount="0" supportSubquery="1" supportAdvancedDrill="1" xr:uid="{490DF34C-6C12-434A-86B3-0CC331D55524}">
  <cacheSource type="external" connectionId="3"/>
  <cacheFields count="2">
    <cacheField name="[Measures].[Average of performance_rating]" caption="Average of performance_rating" numFmtId="0" hierarchy="48" level="32767"/>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247685" createdVersion="8" refreshedVersion="8" minRefreshableVersion="3" recordCount="0" supportSubquery="1" supportAdvancedDrill="1" xr:uid="{74FBDA01-2411-4927-AFF4-B42FEC069A24}">
  <cacheSource type="external" connectionId="3"/>
  <cacheFields count="2">
    <cacheField name="[Measures].[Average of Employee Tenure]" caption="Average of Employee Tenure" numFmtId="0" hierarchy="52" level="32767"/>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oneField="1" hidden="1">
      <fieldsUsage count="1">
        <fieldUsage x="0"/>
      </fieldsUsage>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2939812" createdVersion="8" refreshedVersion="8" minRefreshableVersion="3" recordCount="0" supportSubquery="1" supportAdvancedDrill="1" xr:uid="{993E8628-9F87-4CDD-BB44-D8E18C451FA4}">
  <cacheSource type="external" connectionId="3"/>
  <cacheFields count="3">
    <cacheField name="[Measures].[Count of Employee ID]" caption="Count of Employee ID" numFmtId="0" hierarchy="44" level="32767"/>
    <cacheField name="[Calendar_Table].[Date (Day)].[Date (Day)]" caption="Date (Day)" numFmtId="0" hierarchy="2" level="1">
      <sharedItems count="346">
        <s v="1-Jan"/>
        <s v="2-Jan"/>
        <s v="3-Jan"/>
        <s v="4-Jan"/>
        <s v="5-Jan"/>
        <s v="6-Jan"/>
        <s v="7-Jan"/>
        <s v="8-Jan"/>
        <s v="9-Jan"/>
        <s v="10-Jan"/>
        <s v="11-Jan"/>
        <s v="12-Jan"/>
        <s v="13-Jan"/>
        <s v="14-Jan"/>
        <s v="15-Jan"/>
        <s v="16-Jan"/>
        <s v="17-Jan"/>
        <s v="18-Jan"/>
        <s v="19-Jan"/>
        <s v="21-Jan"/>
        <s v="22-Jan"/>
        <s v="23-Jan"/>
        <s v="24-Jan"/>
        <s v="25-Jan"/>
        <s v="26-Jan"/>
        <s v="27-Jan"/>
        <s v="29-Jan"/>
        <s v="30-Jan"/>
        <s v="31-Jan"/>
        <s v="1-Feb"/>
        <s v="2-Feb"/>
        <s v="3-Feb"/>
        <s v="4-Feb"/>
        <s v="5-Feb"/>
        <s v="6-Feb"/>
        <s v="7-Feb"/>
        <s v="8-Feb"/>
        <s v="9-Feb"/>
        <s v="10-Feb"/>
        <s v="11-Feb"/>
        <s v="12-Feb"/>
        <s v="13-Feb"/>
        <s v="14-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1-Mar"/>
        <s v="1-Apr"/>
        <s v="2-Apr"/>
        <s v="3-Apr"/>
        <s v="4-Apr"/>
        <s v="5-Apr"/>
        <s v="6-Apr"/>
        <s v="7-Apr"/>
        <s v="8-Apr"/>
        <s v="9-Apr"/>
        <s v="10-Apr"/>
        <s v="11-Apr"/>
        <s v="12-Apr"/>
        <s v="13-Apr"/>
        <s v="14-Apr"/>
        <s v="15-Apr"/>
        <s v="16-Apr"/>
        <s v="17-Apr"/>
        <s v="18-Apr"/>
        <s v="19-Apr"/>
        <s v="20-Apr"/>
        <s v="21-Apr"/>
        <s v="22-Apr"/>
        <s v="23-Apr"/>
        <s v="24-Apr"/>
        <s v="25-Apr"/>
        <s v="26-Apr"/>
        <s v="27-Apr"/>
        <s v="28-Apr"/>
        <s v="29-Apr"/>
        <s v="1-May"/>
        <s v="3-May"/>
        <s v="4-May"/>
        <s v="5-May"/>
        <s v="6-May"/>
        <s v="7-May"/>
        <s v="8-May"/>
        <s v="10-May"/>
        <s v="11-May"/>
        <s v="13-May"/>
        <s v="14-May"/>
        <s v="15-May"/>
        <s v="16-May"/>
        <s v="17-May"/>
        <s v="18-May"/>
        <s v="19-May"/>
        <s v="20-May"/>
        <s v="21-May"/>
        <s v="22-May"/>
        <s v="23-May"/>
        <s v="24-May"/>
        <s v="25-May"/>
        <s v="26-May"/>
        <s v="27-May"/>
        <s v="28-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10-Jul"/>
        <s v="11-Jul"/>
        <s v="12-Jul"/>
        <s v="13-Jul"/>
        <s v="14-Jul"/>
        <s v="16-Jul"/>
        <s v="17-Jul"/>
        <s v="18-Jul"/>
        <s v="19-Jul"/>
        <s v="20-Jul"/>
        <s v="21-Jul"/>
        <s v="22-Jul"/>
        <s v="23-Jul"/>
        <s v="24-Jul"/>
        <s v="25-Jul"/>
        <s v="27-Jul"/>
        <s v="28-Jul"/>
        <s v="29-Jul"/>
        <s v="30-Jul"/>
        <s v="31-Jul"/>
        <s v="1-Aug"/>
        <s v="2-Aug"/>
        <s v="3-Aug"/>
        <s v="4-Aug"/>
        <s v="5-Aug"/>
        <s v="6-Aug"/>
        <s v="7-Aug"/>
        <s v="8-Aug"/>
        <s v="9-Aug"/>
        <s v="10-Aug"/>
        <s v="11-Aug"/>
        <s v="12-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3-Sep"/>
        <s v="24-Sep"/>
        <s v="25-Sep"/>
        <s v="26-Sep"/>
        <s v="27-Sep"/>
        <s v="28-Sep"/>
        <s v="29-Sep"/>
        <s v="30-Sep"/>
        <s v="2-Oct"/>
        <s v="3-Oct"/>
        <s v="4-Oct"/>
        <s v="5-Oct"/>
        <s v="6-Oct"/>
        <s v="7-Oct"/>
        <s v="8-Oct"/>
        <s v="9-Oct"/>
        <s v="10-Oct"/>
        <s v="11-Oct"/>
        <s v="12-Oct"/>
        <s v="14-Oct"/>
        <s v="15-Oct"/>
        <s v="16-Oct"/>
        <s v="17-Oct"/>
        <s v="18-Oct"/>
        <s v="19-Oct"/>
        <s v="20-Oct"/>
        <s v="21-Oct"/>
        <s v="22-Oct"/>
        <s v="23-Oct"/>
        <s v="24-Oct"/>
        <s v="25-Oct"/>
        <s v="26-Oct"/>
        <s v="27-Oct"/>
        <s v="28-Oct"/>
        <s v="29-Oct"/>
        <s v="30-Oct"/>
        <s v="31-Oct"/>
        <s v="1-Nov"/>
        <s v="2-Nov"/>
        <s v="3-Nov"/>
        <s v="5-Nov"/>
        <s v="6-Nov"/>
        <s v="7-Nov"/>
        <s v="8-Nov"/>
        <s v="9-Nov"/>
        <s v="10-Nov"/>
        <s v="12-Nov"/>
        <s v="13-Nov"/>
        <s v="14-Nov"/>
        <s v="15-Nov"/>
        <s v="16-Nov"/>
        <s v="17-Nov"/>
        <s v="18-Nov"/>
        <s v="19-Nov"/>
        <s v="20-Nov"/>
        <s v="21-Nov"/>
        <s v="22-Nov"/>
        <s v="23-Nov"/>
        <s v="24-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30-Dec"/>
        <s v="31-Dec"/>
      </sharedItems>
    </cacheField>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3402774" createdVersion="8" refreshedVersion="8" minRefreshableVersion="3" recordCount="0" supportSubquery="1" supportAdvancedDrill="1" xr:uid="{5C6F5891-3078-4369-AD04-51E18F71D4AB}">
  <cacheSource type="external" connectionId="3"/>
  <cacheFields count="3">
    <cacheField name="[employees_1000_records].[department_id].[department_id]" caption="department_id" numFmtId="0" hierarchy="20" level="1">
      <sharedItems count="5">
        <s v="Admin"/>
        <s v="Finance"/>
        <s v="IT"/>
        <s v="Marketing"/>
        <s v="Sales"/>
      </sharedItems>
    </cacheField>
    <cacheField name="[Measures].[Average of salary]" caption="Average of salary" numFmtId="0" hierarchy="43" level="32767"/>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2" memberValueDatatype="130" unbalanced="0">
      <fieldsUsage count="2">
        <fieldUsage x="-1"/>
        <fieldUsage x="0"/>
      </fieldsUsage>
    </cacheHierarchy>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3749997" createdVersion="8" refreshedVersion="8" minRefreshableVersion="3" recordCount="0" supportSubquery="1" supportAdvancedDrill="1" xr:uid="{CA28D2C9-4D11-445B-AA54-E76564CF0AE2}">
  <cacheSource type="external" connectionId="3"/>
  <cacheFields count="3">
    <cacheField name="[employees_1000_records].[Hire Year].[Hire Year]" caption="Hire Year" numFmtId="0" hierarchy="21" level="1">
      <sharedItems containsSemiMixedTypes="0" containsNonDate="0" containsDate="1" containsString="0" minDate="1905-07-08T00:00:00" maxDate="1905-07-19T00:00:00" count="11">
        <d v="1905-07-08T00:00:00"/>
        <d v="1905-07-09T00:00:00"/>
        <d v="1905-07-10T00:00:00"/>
        <d v="1905-07-11T00:00:00"/>
        <d v="1905-07-12T00:00:00"/>
        <d v="1905-07-13T00:00:00"/>
        <d v="1905-07-14T00:00:00"/>
        <d v="1905-07-15T00:00:00"/>
        <d v="1905-07-16T00:00:00"/>
        <d v="1905-07-17T00:00:00"/>
        <d v="1905-07-18T00:00:00"/>
      </sharedItems>
    </cacheField>
    <cacheField name="[Measures].[Count of Employee ID]" caption="Count of Employee ID" numFmtId="0" hierarchy="44" level="32767"/>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2" memberValueDatatype="7" unbalanced="0">
      <fieldsUsage count="2">
        <fieldUsage x="-1"/>
        <fieldUsage x="0"/>
      </fieldsUsage>
    </cacheHierarchy>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4328705" createdVersion="8" refreshedVersion="8" minRefreshableVersion="3" recordCount="0" supportSubquery="1" supportAdvancedDrill="1" xr:uid="{DE3BBAED-1E0E-4117-B4D9-27B537D75A11}">
  <cacheSource type="external" connectionId="3"/>
  <cacheFields count="3">
    <cacheField name="[employees_1000_records].[gender].[gender]" caption="gender" numFmtId="0" hierarchy="8" level="1">
      <sharedItems count="3">
        <s v="Female"/>
        <s v="Male"/>
        <s v="Other"/>
      </sharedItems>
    </cacheField>
    <cacheField name="[Measures].[Count of Employee ID]" caption="Count of Employee ID" numFmtId="0" hierarchy="44" level="32767"/>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2" memberValueDatatype="130" unbalanced="0">
      <fieldsUsage count="2">
        <fieldUsage x="-1"/>
        <fieldUsage x="0"/>
      </fieldsUsage>
    </cacheHierarchy>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4675929" createdVersion="8" refreshedVersion="8" minRefreshableVersion="3" recordCount="0" supportSubquery="1" supportAdvancedDrill="1" xr:uid="{AE0FD18E-A4B5-4B3F-B1EB-83F5C9BE56CD}">
  <cacheSource type="external" connectionId="3"/>
  <cacheFields count="3">
    <cacheField name="[employees_1000_records].[employment_status].[employment_status]" caption="employment_status" numFmtId="0" hierarchy="17" level="1">
      <sharedItems count="3">
        <s v="Active"/>
        <s v="On Leave"/>
        <s v="Resigned"/>
      </sharedItems>
    </cacheField>
    <cacheField name="[Measures].[Count of Employee ID]" caption="Count of Employee ID" numFmtId="0" hierarchy="44" level="32767"/>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2" memberValueDatatype="130" unbalanced="0">
      <fieldsUsage count="2">
        <fieldUsage x="-1"/>
        <fieldUsage x="0"/>
      </fieldsUsage>
    </cacheHierarchy>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5023152" createdVersion="8" refreshedVersion="8" minRefreshableVersion="3" recordCount="0" supportSubquery="1" supportAdvancedDrill="1" xr:uid="{259F5B7C-018D-475A-AEB6-BC592D4F4BAA}">
  <cacheSource type="external" connectionId="3"/>
  <cacheFields count="3">
    <cacheField name="[Measures].[Count of Employee ID]" caption="Count of Employee ID" numFmtId="0" hierarchy="44" level="32767"/>
    <cacheField name="[employees_1000_records].[Age].[Age]" caption="Age" numFmtId="0" hierarchy="24" level="1">
      <sharedItems count="20">
        <s v="22"/>
        <s v="23"/>
        <s v="24"/>
        <s v="25"/>
        <s v="26"/>
        <s v="27"/>
        <s v="28"/>
        <s v="29"/>
        <s v="30"/>
        <s v="31"/>
        <s v="32"/>
        <s v="33"/>
        <s v="34"/>
        <s v="35"/>
        <s v="36"/>
        <s v="37"/>
        <s v="38"/>
        <s v="39"/>
        <s v="40"/>
        <s v="41"/>
      </sharedItems>
    </cacheField>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2" memberValueDatatype="130" unbalanced="0">
      <fieldsUsage count="2">
        <fieldUsage x="-1"/>
        <fieldUsage x="1"/>
      </fieldsUsage>
    </cacheHierarchy>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5254629" createdVersion="8" refreshedVersion="8" minRefreshableVersion="3" recordCount="0" supportSubquery="1" supportAdvancedDrill="1" xr:uid="{D163533E-7EF8-476B-B8E6-C8BEB3859631}">
  <cacheSource type="external" connectionId="3"/>
  <cacheFields count="2">
    <cacheField name="[Measures].[Count of Employee ID]" caption="Count of Employee ID" numFmtId="0" hierarchy="44" level="32767"/>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4.724595370368" createdVersion="8" refreshedVersion="8" minRefreshableVersion="3" recordCount="0" supportSubquery="1" supportAdvancedDrill="1" xr:uid="{4D749CF8-713A-4E1E-9837-DF6892F5F29F}">
  <cacheSource type="external" connectionId="3"/>
  <cacheFields count="2">
    <cacheField name="[Measures].[Average of salary]" caption="Average of salary" numFmtId="0" hierarchy="43" level="32767"/>
    <cacheField name="[Calendar_Table].[Date (Year)].[Date (Year)]" caption="Date (Year)" numFmtId="0" hierarchy="3" level="1">
      <sharedItems containsSemiMixedTypes="0" containsNonDate="0" containsString="0"/>
    </cacheField>
  </cacheFields>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dimensions count="3">
    <dimension name="Calendar_Table" uniqueName="[Calendar_Table]" caption="Calendar_Table"/>
    <dimension name="employees_1000_records" uniqueName="[employees_1000_records]" caption="employees_1000_records"/>
    <dimension measure="1" name="Measures" uniqueName="[Measures]" caption="Measures"/>
  </dimensions>
  <measureGroups count="2">
    <measureGroup name="Calendar_Table" caption="Calendar_Table"/>
    <measureGroup name="employees_1000_records" caption="employees_1000_record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0.89823796296" createdVersion="3" refreshedVersion="8" minRefreshableVersion="3" recordCount="0" supportSubquery="1" supportAdvancedDrill="1" xr:uid="{02F29367-946F-4FA2-ADEF-3209C72002C6}">
  <cacheSource type="external" connectionId="3">
    <extLst>
      <ext xmlns:x14="http://schemas.microsoft.com/office/spreadsheetml/2009/9/main" uri="{F057638F-6D5F-4e77-A914-E7F072B9BCA8}">
        <x14:sourceConnection name="ThisWorkbookDataModel"/>
      </ext>
    </extLst>
  </cacheSource>
  <cacheFields count="0"/>
  <cacheHierarchies count="5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employees_1000_records].[Employee ID]" caption="Employee ID" attribute="1" defaultMemberUniqueName="[employees_1000_records].[Employee ID].[All]" allUniqueName="[employees_1000_records].[Employee ID].[All]" dimensionUniqueName="[employees_1000_records]" displayFolder="" count="0" memberValueDatatype="20" unbalanced="0"/>
    <cacheHierarchy uniqueName="[employees_1000_records].[first_name]" caption="first_name" attribute="1" defaultMemberUniqueName="[employees_1000_records].[first_name].[All]" allUniqueName="[employees_1000_records].[first_name].[All]" dimensionUniqueName="[employees_1000_records]" displayFolder="" count="0" memberValueDatatype="130" unbalanced="0"/>
    <cacheHierarchy uniqueName="[employees_1000_records].[last_name]" caption="last_name" attribute="1" defaultMemberUniqueName="[employees_1000_records].[last_name].[All]" allUniqueName="[employees_1000_records].[last_name].[All]" dimensionUniqueName="[employees_1000_records]" displayFolder="" count="0" memberValueDatatype="130" unbalanced="0"/>
    <cacheHierarchy uniqueName="[employees_1000_records].[gender]" caption="gender" attribute="1" defaultMemberUniqueName="[employees_1000_records].[gender].[All]" allUniqueName="[employees_1000_records].[gender].[All]" dimensionUniqueName="[employees_1000_records]" displayFolder="" count="0" memberValueDatatype="130" unbalanced="0"/>
    <cacheHierarchy uniqueName="[employees_1000_records].[date_of_birth]" caption="date_of_birth" attribute="1" time="1" defaultMemberUniqueName="[employees_1000_records].[date_of_birth].[All]" allUniqueName="[employees_1000_records].[date_of_birth].[All]" dimensionUniqueName="[employees_1000_records]" displayFolder="" count="0" memberValueDatatype="7" unbalanced="0"/>
    <cacheHierarchy uniqueName="[employees_1000_records].[email]" caption="email" attribute="1" defaultMemberUniqueName="[employees_1000_records].[email].[All]" allUniqueName="[employees_1000_records].[email].[All]" dimensionUniqueName="[employees_1000_records]" displayFolder="" count="0" memberValueDatatype="130" unbalanced="0"/>
    <cacheHierarchy uniqueName="[employees_1000_records].[phone]" caption="phone" attribute="1" defaultMemberUniqueName="[employees_1000_records].[phone].[All]" allUniqueName="[employees_1000_records].[phone].[All]" dimensionUniqueName="[employees_1000_records]" displayFolder="" count="0" memberValueDatatype="20" unbalanced="0"/>
    <cacheHierarchy uniqueName="[employees_1000_records].[hire_date]" caption="hire_date" attribute="1" time="1" defaultMemberUniqueName="[employees_1000_records].[hire_date].[All]" allUniqueName="[employees_1000_records].[hire_date].[All]" dimensionUniqueName="[employees_1000_records]" displayFolder="" count="0" memberValueDatatype="7" unbalanced="0"/>
    <cacheHierarchy uniqueName="[employees_1000_records].[job_title]" caption="job_title" attribute="1" defaultMemberUniqueName="[employees_1000_records].[job_title].[All]" allUniqueName="[employees_1000_records].[job_title].[All]" dimensionUniqueName="[employees_1000_records]" displayFolder="" count="0" memberValueDatatype="130" unbalanced="0"/>
    <cacheHierarchy uniqueName="[employees_1000_records].[salary]" caption="salary" attribute="1" defaultMemberUniqueName="[employees_1000_records].[salary].[All]" allUniqueName="[employees_1000_records].[salary].[All]" dimensionUniqueName="[employees_1000_records]" displayFolder="" count="0" memberValueDatatype="20" unbalanced="0"/>
    <cacheHierarchy uniqueName="[employees_1000_records].[bonus]" caption="bonus" attribute="1" defaultMemberUniqueName="[employees_1000_records].[bonus].[All]" allUniqueName="[employees_1000_records].[bonus].[All]" dimensionUniqueName="[employees_1000_records]" displayFolder="" count="0" memberValueDatatype="20" unbalanced="0"/>
    <cacheHierarchy uniqueName="[employees_1000_records].[performance_rating]" caption="performance_rating" attribute="1" defaultMemberUniqueName="[employees_1000_records].[performance_rating].[All]" allUniqueName="[employees_1000_records].[performance_rating].[All]" dimensionUniqueName="[employees_1000_records]" displayFolder="" count="0" memberValueDatatype="20" unbalanced="0"/>
    <cacheHierarchy uniqueName="[employees_1000_records].[employment_status]" caption="employment_status" attribute="1" defaultMemberUniqueName="[employees_1000_records].[employment_status].[All]" allUniqueName="[employees_1000_records].[employment_status].[All]" dimensionUniqueName="[employees_1000_records]" displayFolder="" count="0" memberValueDatatype="130" unbalanced="0"/>
    <cacheHierarchy uniqueName="[employees_1000_records].[city]" caption="city" attribute="1" defaultMemberUniqueName="[employees_1000_records].[city].[All]" allUniqueName="[employees_1000_records].[city].[All]" dimensionUniqueName="[employees_1000_records]" displayFolder="" count="0" memberValueDatatype="130" unbalanced="0"/>
    <cacheHierarchy uniqueName="[employees_1000_records].[country]" caption="country" attribute="1" defaultMemberUniqueName="[employees_1000_records].[country].[All]" allUniqueName="[employees_1000_records].[country].[All]" dimensionUniqueName="[employees_1000_records]" displayFolder="" count="0" memberValueDatatype="130" unbalanced="0"/>
    <cacheHierarchy uniqueName="[employees_1000_records].[department_id]" caption="department_id" attribute="1" defaultMemberUniqueName="[employees_1000_records].[department_id].[All]" allUniqueName="[employees_1000_records].[department_id].[All]" dimensionUniqueName="[employees_1000_records]" displayFolder="" count="0" memberValueDatatype="130" unbalanced="0"/>
    <cacheHierarchy uniqueName="[employees_1000_records].[Hire Year]" caption="Hire Year" attribute="1" time="1" defaultMemberUniqueName="[employees_1000_records].[Hire Year].[All]" allUniqueName="[employees_1000_records].[Hire Year].[All]" dimensionUniqueName="[employees_1000_records]" displayFolder="" count="0" memberValueDatatype="7" unbalanced="0"/>
    <cacheHierarchy uniqueName="[employees_1000_records].[Total Compensation]" caption="Total Compensation" attribute="1" defaultMemberUniqueName="[employees_1000_records].[Total Compensation].[All]" allUniqueName="[employees_1000_records].[Total Compensation].[All]" dimensionUniqueName="[employees_1000_records]" displayFolder="" count="0" memberValueDatatype="130" unbalanced="0"/>
    <cacheHierarchy uniqueName="[employees_1000_records].[Employee Tenure]" caption="Employee Tenure" attribute="1" defaultMemberUniqueName="[employees_1000_records].[Employee Tenure].[All]" allUniqueName="[employees_1000_records].[Employee Tenure].[All]" dimensionUniqueName="[employees_1000_records]" displayFolder="" count="0" memberValueDatatype="20" unbalanced="0"/>
    <cacheHierarchy uniqueName="[employees_1000_records].[Age]" caption="Age" attribute="1" defaultMemberUniqueName="[employees_1000_records].[Age].[All]" allUniqueName="[employees_1000_records].[Age].[All]" dimensionUniqueName="[employees_1000_records]" displayFolder="" count="0" memberValueDatatype="130" unbalanced="0"/>
    <cacheHierarchy uniqueName="[employees_1000_records].[Calculated Column 1]" caption="Calculated Column 1" attribute="1" defaultMemberUniqueName="[employees_1000_records].[Calculated Column 1].[All]" allUniqueName="[employees_1000_records].[Calculated Column 1].[All]" dimensionUniqueName="[employees_1000_records]" displayFolder="" count="0" memberValueDatatype="20" unbalanced="0"/>
    <cacheHierarchy uniqueName="[employees_1000_records].[hire_date (Year)]" caption="hire_date (Year)" attribute="1" defaultMemberUniqueName="[employees_1000_records].[hire_date (Year)].[All]" allUniqueName="[employees_1000_records].[hire_date (Year)].[All]" dimensionUniqueName="[employees_1000_records]" displayFolder="" count="0" memberValueDatatype="130" unbalanced="0"/>
    <cacheHierarchy uniqueName="[employees_1000_records].[hire_date (Quarter)]" caption="hire_date (Quarter)" attribute="1" defaultMemberUniqueName="[employees_1000_records].[hire_date (Quarter)].[All]" allUniqueName="[employees_1000_records].[hire_date (Quarter)].[All]" dimensionUniqueName="[employees_1000_records]" displayFolder="" count="0" memberValueDatatype="130" unbalanced="0"/>
    <cacheHierarchy uniqueName="[employees_1000_records].[hire_date (Month)]" caption="hire_date (Month)" attribute="1" defaultMemberUniqueName="[employees_1000_records].[hire_date (Month)].[All]" allUniqueName="[employees_1000_records].[hire_date (Month)].[All]" dimensionUniqueName="[employees_1000_records]"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employees_1000_records].[hire_date (Month Index)]" caption="hire_date (Month Index)" attribute="1" defaultMemberUniqueName="[employees_1000_records].[hire_date (Month Index)].[All]" allUniqueName="[employees_1000_records].[hire_date (Month Index)].[All]" dimensionUniqueName="[employees_1000_records]" displayFolder="" count="0" memberValueDatatype="20" unbalanced="0" hidden="1"/>
    <cacheHierarchy uniqueName="[Measures].[__XL_Count employees_1000_records]" caption="__XL_Count employees_1000_records" measure="1" displayFolder="" measureGroup="employees_1000_records"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department_id]" caption="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salary]" caption="Count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performance_rating]" caption="Count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first_name]" caption="Count of first_name" measure="1" displayFolder="" measureGroup="employees_1000_records"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Sum of bonus]" caption="Sum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Employee ID]" caption="Sum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Average of salary]" caption="Average of salary" measure="1" displayFolder="" measureGroup="employees_1000_records" count="0" hidden="1">
      <extLst>
        <ext xmlns:x15="http://schemas.microsoft.com/office/spreadsheetml/2010/11/main" uri="{B97F6D7D-B522-45F9-BDA1-12C45D357490}">
          <x15:cacheHierarchy aggregatedColumn="14"/>
        </ext>
      </extLst>
    </cacheHierarchy>
    <cacheHierarchy uniqueName="[Measures].[Count of Employee ID]" caption="Count of Employee ID" measure="1" displayFolder="" measureGroup="employees_1000_records" count="0" hidden="1">
      <extLst>
        <ext xmlns:x15="http://schemas.microsoft.com/office/spreadsheetml/2010/11/main" uri="{B97F6D7D-B522-45F9-BDA1-12C45D357490}">
          <x15:cacheHierarchy aggregatedColumn="5"/>
        </ext>
      </extLst>
    </cacheHierarchy>
    <cacheHierarchy uniqueName="[Measures].[Sum of Calculated Column 1]" caption="Sum of Calculated Column 1" measure="1" displayFolder="" measureGroup="employees_1000_records" count="0" hidden="1">
      <extLst>
        <ext xmlns:x15="http://schemas.microsoft.com/office/spreadsheetml/2010/11/main" uri="{B97F6D7D-B522-45F9-BDA1-12C45D357490}">
          <x15:cacheHierarchy aggregatedColumn="25"/>
        </ext>
      </extLst>
    </cacheHierarchy>
    <cacheHierarchy uniqueName="[Measures].[Average of bonus]" caption="Average of bonus" measure="1" displayFolder="" measureGroup="employees_1000_record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Average of performance_rating]" caption="Average of performance_rating" measure="1" displayFolder="" measureGroup="employees_1000_records" count="0" hidden="1">
      <extLst>
        <ext xmlns:x15="http://schemas.microsoft.com/office/spreadsheetml/2010/11/main" uri="{B97F6D7D-B522-45F9-BDA1-12C45D357490}">
          <x15:cacheHierarchy aggregatedColumn="16"/>
        </ext>
      </extLst>
    </cacheHierarchy>
    <cacheHierarchy uniqueName="[Measures].[Count of Age]" caption="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Distinct Count of Age]" caption="Distinct Count of Age" measure="1" displayFolder="" measureGroup="employees_1000_records" count="0" hidden="1">
      <extLst>
        <ext xmlns:x15="http://schemas.microsoft.com/office/spreadsheetml/2010/11/main" uri="{B97F6D7D-B522-45F9-BDA1-12C45D357490}">
          <x15:cacheHierarchy aggregatedColumn="24"/>
        </ext>
      </extLst>
    </cacheHierarchy>
    <cacheHierarchy uniqueName="[Measures].[Count of Employee Tenure]" caption="Count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Average of Employee Tenure]" caption="Average of Employee Tenure" measure="1" displayFolder="" measureGroup="employees_1000_records" count="0" hidden="1">
      <extLst>
        <ext xmlns:x15="http://schemas.microsoft.com/office/spreadsheetml/2010/11/main" uri="{B97F6D7D-B522-45F9-BDA1-12C45D357490}">
          <x15:cacheHierarchy aggregatedColumn="23"/>
        </ext>
      </extLst>
    </cacheHierarchy>
    <cacheHierarchy uniqueName="[Measures].[Distinct Count of department_id]" caption="Distinct Count of department_id" measure="1" displayFolder="" measureGroup="employees_1000_records" count="0" hidden="1">
      <extLst>
        <ext xmlns:x15="http://schemas.microsoft.com/office/spreadsheetml/2010/11/main" uri="{B97F6D7D-B522-45F9-BDA1-12C45D357490}">
          <x15:cacheHierarchy aggregatedColumn="20"/>
        </ext>
      </extLst>
    </cacheHierarchy>
    <cacheHierarchy uniqueName="[Measures].[Count of employment_status]" caption="Count of employment_status" measure="1" displayFolder="" measureGroup="employees_1000_record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3107502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4C5873-DFA8-4A04-A535-196331E43220}" name="PivotTable2" cacheId="1051" applyNumberFormats="0" applyBorderFormats="0" applyFontFormats="0" applyPatternFormats="0" applyAlignmentFormats="0" applyWidthHeightFormats="1" dataCaption="Values" tag="1e3bfdd4-fdb5-4fd7-9bc6-fabac7d14313" updatedVersion="8" minRefreshableVersion="3" useAutoFormatting="1" subtotalHiddenItems="1" itemPrintTitles="1" createdVersion="8" indent="0" outline="1" outlineData="1" multipleFieldFilters="0" chartFormat="10">
  <location ref="D2:E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salary" fld="1" subtotal="average" baseField="0" baseItem="0" numFmtId="2"/>
  </dataFields>
  <formats count="1">
    <format dxfId="3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Employee ID"/>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9E5CBF-B3C5-4EDF-A7EB-CB13B0E500FA}" name="PivotTable3" cacheId="1054" applyNumberFormats="0" applyBorderFormats="0" applyFontFormats="0" applyPatternFormats="0" applyAlignmentFormats="0" applyWidthHeightFormats="1" dataCaption="Values" tag="da5e6b76-c377-4e2c-80d8-abde024cf231" updatedVersion="8" minRefreshableVersion="3" useAutoFormatting="1" subtotalHiddenItems="1" itemPrintTitles="1" createdVersion="8" indent="0" outline="1" outlineData="1" multipleFieldFilters="0" chartFormat="8">
  <location ref="G2:H14"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Count of Employee ID" fld="1" subtotal="count" baseField="0" baseItem="0" numFmtId="1"/>
  </dataFields>
  <formats count="1">
    <format dxfId="3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Employee ID"/>
    <pivotHierarchy dragToData="1" caption="Average of salary"/>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25E4CB-E160-40B1-9EC9-D7190868D845}" name="PivotTable4" cacheId="10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J2:K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 ID" fld="1" subtotal="count" baseField="0" baseItem="0" numFmtId="1"/>
  </dataFields>
  <formats count="1">
    <format dxfId="38">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2"/>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Employee ID"/>
    <pivotHierarchy dragToData="1" caption="Average of salary"/>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FDD136-1881-4C6C-89B1-016F122E6E85}" name="PivotTable13" cacheId="1042" applyNumberFormats="0" applyBorderFormats="0" applyFontFormats="0" applyPatternFormats="0" applyAlignmentFormats="0" applyWidthHeightFormats="1" dataCaption="Values" tag="50ebab6e-8db8-46c8-a84b-f1c14400e26f" updatedVersion="8" minRefreshableVersion="3" useAutoFormatting="1" subtotalHiddenItems="1" itemPrintTitles="1" createdVersion="8"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erformance_rating" fld="0" subtotal="average" baseField="0" baseItem="0" numFmtId="164"/>
  </dataFields>
  <formats count="1">
    <format dxfId="39">
      <pivotArea outline="0" collapsedLevelsAreSubtotals="1" fieldPosition="0"/>
    </format>
  </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salary"/>
    <pivotHierarchy dragToData="1"/>
    <pivotHierarchy dragToData="1"/>
    <pivotHierarchy dragToData="1"/>
    <pivotHierarchy dragToData="1" caption="Average of salary"/>
    <pivotHierarchy dragToData="1" caption="Count of Employee ID"/>
    <pivotHierarchy dragToData="1"/>
    <pivotHierarchy dragToData="1" caption="Average of bonus"/>
    <pivotHierarchy dragToData="1"/>
    <pivotHierarchy dragToData="1" caption="Average of performance_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7501A5-2C28-4D65-AF45-C8E3DE12770A}" name="PivotTable9" cacheId="1069" applyNumberFormats="0" applyBorderFormats="0" applyFontFormats="0" applyPatternFormats="0" applyAlignmentFormats="0" applyWidthHeightFormats="1" dataCaption="Values" tag="ee5bfd51-fbe5-4fcf-a216-6a19d0e22105" updatedVersion="8" minRefreshableVersion="3" useAutoFormatting="1" subtotalHiddenItems="1"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ary" fld="0" subtotal="average" baseField="0" baseItem="0" numFmtId="164"/>
  </dataFields>
  <formats count="1">
    <format dxfId="40">
      <pivotArea outline="0" collapsedLevelsAreSubtotals="1" fieldPosition="0"/>
    </format>
  </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AC16EA-A046-4901-A982-965EB85CADBB}" name="PivotTable6" cacheId="1063" applyNumberFormats="0" applyBorderFormats="0" applyFontFormats="0" applyPatternFormats="0" applyAlignmentFormats="0" applyWidthHeightFormats="1" dataCaption="Values" tag="693ca8e3-a8ae-487b-8947-b0855cf529ae" updatedVersion="8" minRefreshableVersion="3" useAutoFormatting="1" subtotalHiddenItems="1" itemPrintTitles="1" createdVersion="8" indent="0" outline="1" outlineData="1" multipleFieldFilters="0" chartFormat="20">
  <location ref="P2:Q23" firstHeaderRow="1" firstDataRow="1" firstDataCol="1"/>
  <pivotFields count="3">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Employee ID" fld="0" subtotal="count" baseField="0" baseItem="0"/>
  </dataFields>
  <formats count="1">
    <format dxfId="41">
      <pivotArea outline="0" collapsedLevelsAreSubtotals="1" fieldPosition="0"/>
    </format>
  </formats>
  <chartFormats count="5">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Employee ID"/>
    <pivotHierarchy dragToData="1" caption="Average of salary"/>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99D576-B4CC-4823-9AE5-0E111AC9E199}" name="PivotTable1" cacheId="1039" applyNumberFormats="0" applyBorderFormats="0" applyFontFormats="0" applyPatternFormats="0" applyAlignmentFormats="0" applyWidthHeightFormats="1" dataCaption="Values" tag="0b331827-d4be-419a-aed7-fa41f268e71c" updatedVersion="8" minRefreshableVersion="3" useAutoFormatting="1" subtotalHiddenItems="1" itemPrintTitles="1" createdVersion="8" indent="0" outline="1" outlineData="1" multipleFieldFilters="0" chartFormat="8">
  <location ref="A2:B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Distinct Count of Employee 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8012A8-8FC7-4D6A-A7E4-3DF563769B9C}" name="PivotTable14" cacheId="1045" applyNumberFormats="0" applyBorderFormats="0" applyFontFormats="0" applyPatternFormats="0" applyAlignmentFormats="0" applyWidthHeightFormats="1" dataCaption="Values" tag="fa32e565-314b-4a68-8e37-072651fafd80" updatedVersion="8" minRefreshableVersion="3" useAutoFormatting="1" subtotalHiddenItems="1"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Employee Tenure" fld="0" subtotal="average" baseField="0" baseItem="0" numFmtId="164"/>
  </dataFields>
  <formats count="1">
    <format dxfId="42">
      <pivotArea outline="0" collapsedLevelsAreSubtotals="1" fieldPosition="0"/>
    </format>
  </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 Tenu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A456EC-3E99-4A74-9CBD-CF0E82E69C95}" name="PivotTable10" cacheId="103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E14:E26" firstHeaderRow="1" firstDataRow="1" firstDataCol="1"/>
  <pivotFields count="1">
    <pivotField axis="axisRow" allDrilled="1" subtotalTop="0" showAll="0" dataSourceSort="1" defaultSubtotal="0" defaultAttributeDrillState="1">
      <items count="11">
        <item x="0"/>
        <item x="1"/>
        <item x="2"/>
        <item x="3"/>
        <item x="4"/>
        <item x="5"/>
        <item x="6"/>
        <item x="7"/>
        <item x="8"/>
        <item x="9"/>
        <item x="10"/>
      </items>
    </pivotField>
  </pivotFields>
  <rowFields count="1">
    <field x="0"/>
  </rowFields>
  <rowItems count="12">
    <i>
      <x/>
    </i>
    <i>
      <x v="1"/>
    </i>
    <i>
      <x v="2"/>
    </i>
    <i>
      <x v="3"/>
    </i>
    <i>
      <x v="4"/>
    </i>
    <i>
      <x v="5"/>
    </i>
    <i>
      <x v="6"/>
    </i>
    <i>
      <x v="7"/>
    </i>
    <i>
      <x v="8"/>
    </i>
    <i>
      <x v="9"/>
    </i>
    <i>
      <x v="10"/>
    </i>
    <i t="grand">
      <x/>
    </i>
  </rowItems>
  <pivotHierarchies count="5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2172D0-A1CC-4C0E-93AB-384B143A61A2}" name="PivotTable8" cacheId="1066" applyNumberFormats="0" applyBorderFormats="0" applyFontFormats="0" applyPatternFormats="0" applyAlignmentFormats="0" applyWidthHeightFormats="1" dataCaption="Values" tag="4df0db9a-af44-4cc0-8fef-a0e7c1a824b0" updatedVersion="8" minRefreshableVersion="3" useAutoFormatting="1" subtotalHiddenItems="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 ID" fld="0" subtotal="count" baseField="0" baseItem="0" numFmtId="43"/>
  </dataFields>
  <formats count="1">
    <format dxfId="43">
      <pivotArea outline="0" collapsedLevelsAreSubtotals="1" fieldPosition="0"/>
    </format>
  </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45C1D6-EAC6-4A7F-BE67-A8C5959CF07A}" name="PivotTable19" cacheId="1048" applyNumberFormats="0" applyBorderFormats="0" applyFontFormats="0" applyPatternFormats="0" applyAlignmentFormats="0" applyWidthHeightFormats="1" dataCaption="Values" tag="044e523b-69f9-4086-b36e-02bd2bff93e6" updatedVersion="8" minRefreshableVersion="3" subtotalHiddenItems="1" itemPrintTitles="1" createdVersion="8" indent="0" outline="1" outlineData="1" multipleFieldFilters="0">
  <location ref="B11:C358" firstHeaderRow="1" firstDataRow="1" firstDataCol="1"/>
  <pivotFields count="3">
    <pivotField dataField="1" subtotalTop="0" showAll="0" defaultSubtotal="0"/>
    <pivotField axis="axisRow" allDrilled="1" subtotalTop="0" showAll="0" dataSourceSort="1" defaultSubtotal="0" defaultAttributeDrillState="1">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s>
    </pivotField>
    <pivotField allDrilled="1" subtotalTop="0" showAll="0" dataSourceSort="1" defaultSubtotal="0" defaultAttributeDrillState="1"/>
  </pivotFields>
  <rowFields count="1">
    <field x="1"/>
  </rowFields>
  <rowItems count="3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t="grand">
      <x/>
    </i>
  </rowItems>
  <colItems count="1">
    <i/>
  </colItems>
  <dataFields count="1">
    <dataField name="Count of Employee ID" fld="0" subtotal="count" baseField="0" baseItem="0"/>
  </dataField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3381FE-2D71-4D91-8AAF-FEF6142097FF}" name="PivotTable5" cacheId="1060" applyNumberFormats="0" applyBorderFormats="0" applyFontFormats="0" applyPatternFormats="0" applyAlignmentFormats="0" applyWidthHeightFormats="1" dataCaption="Values" tag="7ae9d101-5e3b-4d7c-99d8-e162391521f1" updatedVersion="8" minRefreshableVersion="3" useAutoFormatting="1" subtotalHiddenItems="1" itemPrintTitles="1" createdVersion="8" indent="0" outline="1" outlineData="1" multipleFieldFilters="0" chartFormat="14">
  <location ref="M2:N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 ID" fld="1" subtotal="count" baseField="0" baseItem="0"/>
  </dataFields>
  <formats count="1">
    <format dxfId="44">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Employee ID"/>
    <pivotHierarchy dragToData="1" caption="Average of salary"/>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000_record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BCD5EA0-1E83-4EFD-A482-8A19E807F7F0}" sourceName="[Calendar_Table].[Date (Month)]">
  <pivotTables>
    <pivotTable tabId="1" name="PivotTable19"/>
    <pivotTable tabId="1" name="PivotTable13"/>
    <pivotTable tabId="1" name="PivotTable14"/>
    <pivotTable tabId="1" name="PivotTable5"/>
    <pivotTable tabId="1" name="PivotTable8"/>
    <pivotTable tabId="1" name="PivotTable9"/>
    <pivotTable tabId="1" name="PivotTable1"/>
    <pivotTable tabId="1" name="PivotTable2"/>
    <pivotTable tabId="1" name="PivotTable3"/>
    <pivotTable tabId="1" name="PivotTable4"/>
    <pivotTable tabId="1" name="PivotTable6"/>
  </pivotTables>
  <data>
    <olap pivotCacheId="31075020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D06A68C-DB72-4FD6-B123-58179CBEE6AB}" sourceName="[Calendar_Table].[Date (Year)]">
  <pivotTables>
    <pivotTable tabId="1" name="PivotTable10"/>
    <pivotTable tabId="1" name="PivotTable1"/>
    <pivotTable tabId="1" name="PivotTable13"/>
    <pivotTable tabId="1" name="PivotTable14"/>
    <pivotTable tabId="1" name="PivotTable19"/>
    <pivotTable tabId="1" name="PivotTable2"/>
    <pivotTable tabId="1" name="PivotTable3"/>
    <pivotTable tabId="1" name="PivotTable4"/>
    <pivotTable tabId="1" name="PivotTable5"/>
    <pivotTable tabId="1" name="PivotTable6"/>
    <pivotTable tabId="1" name="PivotTable8"/>
    <pivotTable tabId="1" name="PivotTable9"/>
  </pivotTables>
  <data>
    <olap pivotCacheId="310750206">
      <levels count="2">
        <level uniqueName="[Calendar_Table].[Date (Year)].[(All)]" sourceCaption="(All)" count="0"/>
        <level uniqueName="[Calendar_Table].[Date (Year)].[Date (Year)]" sourceCaption="Date (Year)" count="11">
          <ranges>
            <range startItem="0">
              <i n="[Calendar_Table].[Date (Year)].&amp;[2016]" c="2016"/>
              <i n="[Calendar_Table].[Date (Year)].&amp;[2017]" c="2017"/>
              <i n="[Calendar_Table].[Date (Year)].&amp;[2018]" c="2018"/>
              <i n="[Calendar_Table].[Date (Year)].&amp;[2019]" c="2019"/>
              <i n="[Calendar_Table].[Date (Year)].&amp;[2020]" c="2020"/>
              <i n="[Calendar_Table].[Date (Year)].&amp;[2021]" c="2021"/>
              <i n="[Calendar_Table].[Date (Year)].&amp;[2022]" c="2022"/>
              <i n="[Calendar_Table].[Date (Year)].&amp;[2023]" c="2023"/>
              <i n="[Calendar_Table].[Date (Year)].&amp;[2024]" c="2024"/>
              <i n="[Calendar_Table].[Date (Year)].&amp;[2025]" c="2025"/>
              <i n="[Calendar_Table].[Date (Year)].&amp;[2026]" c="2026"/>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5573DC5-6706-40FD-8F1C-158CF11FAC08}" cache="Slicer_Date__Month" caption="Date (Month)" columnCount="12" showCaption="0" level="1" style="my style " rowHeight="216000"/>
  <slicer name="Date (Year)" xr10:uid="{0CA34BE1-B341-4741-91EE-3E8997C82293}" cache="Slicer_Date__Year" caption="Date (Year)" showCaption="0" level="1" style="my style " rowHeight="54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6363E-5820-482F-B761-835A2B4C81C5}">
  <sheetPr codeName="Sheet1"/>
  <dimension ref="A2:Q358"/>
  <sheetViews>
    <sheetView zoomScale="75" zoomScaleNormal="83" workbookViewId="0">
      <selection activeCell="H18" sqref="H18"/>
    </sheetView>
  </sheetViews>
  <sheetFormatPr defaultRowHeight="14.4" x14ac:dyDescent="0.3"/>
  <cols>
    <col min="1" max="1" width="16.109375" bestFit="1" customWidth="1"/>
    <col min="2" max="2" width="27.6640625" bestFit="1" customWidth="1"/>
    <col min="4" max="4" width="13.77734375" bestFit="1" customWidth="1"/>
    <col min="5" max="5" width="16.109375" bestFit="1" customWidth="1"/>
    <col min="6" max="6" width="12.33203125" bestFit="1" customWidth="1"/>
    <col min="7" max="7" width="13.77734375" bestFit="1" customWidth="1"/>
    <col min="8" max="8" width="20.21875" bestFit="1" customWidth="1"/>
    <col min="9" max="9" width="4.6640625" bestFit="1" customWidth="1"/>
    <col min="10" max="10" width="13.77734375" bestFit="1" customWidth="1"/>
    <col min="11" max="11" width="20.21875" bestFit="1" customWidth="1"/>
    <col min="12" max="12" width="10.77734375" bestFit="1" customWidth="1"/>
    <col min="13" max="13" width="13.77734375" bestFit="1" customWidth="1"/>
    <col min="14" max="14" width="20.21875" bestFit="1" customWidth="1"/>
    <col min="15" max="15" width="4.33203125" bestFit="1" customWidth="1"/>
    <col min="16" max="16" width="13.77734375" bestFit="1" customWidth="1"/>
    <col min="17" max="17" width="20.21875" bestFit="1" customWidth="1"/>
    <col min="18" max="18" width="4.44140625" bestFit="1" customWidth="1"/>
    <col min="19" max="19" width="4.109375" bestFit="1" customWidth="1"/>
    <col min="20" max="20" width="10.77734375" bestFit="1" customWidth="1"/>
    <col min="21" max="127" width="8.5546875" bestFit="1" customWidth="1"/>
    <col min="128" max="128" width="10.77734375" bestFit="1" customWidth="1"/>
    <col min="129" max="882" width="10.33203125" bestFit="1" customWidth="1"/>
    <col min="883" max="883" width="10.77734375" bestFit="1" customWidth="1"/>
    <col min="884" max="885" width="4" bestFit="1" customWidth="1"/>
    <col min="886" max="886" width="3" bestFit="1" customWidth="1"/>
    <col min="887" max="896" width="4" bestFit="1" customWidth="1"/>
    <col min="897" max="897" width="2" bestFit="1" customWidth="1"/>
    <col min="898" max="898" width="3" bestFit="1" customWidth="1"/>
    <col min="899" max="908" width="4" bestFit="1" customWidth="1"/>
    <col min="909" max="909" width="3" bestFit="1" customWidth="1"/>
    <col min="910" max="919" width="4" bestFit="1" customWidth="1"/>
    <col min="920" max="920" width="3" bestFit="1" customWidth="1"/>
    <col min="921" max="930" width="4" bestFit="1" customWidth="1"/>
    <col min="931" max="931" width="3" bestFit="1" customWidth="1"/>
    <col min="932" max="941" width="4" bestFit="1" customWidth="1"/>
    <col min="942" max="942" width="3" bestFit="1" customWidth="1"/>
    <col min="943" max="952" width="4" bestFit="1" customWidth="1"/>
    <col min="953" max="953" width="3" bestFit="1" customWidth="1"/>
    <col min="954" max="963" width="4" bestFit="1" customWidth="1"/>
    <col min="964" max="964" width="3" bestFit="1" customWidth="1"/>
    <col min="965" max="974" width="4" bestFit="1" customWidth="1"/>
    <col min="975" max="975" width="3" bestFit="1" customWidth="1"/>
    <col min="976" max="985" width="4" bestFit="1" customWidth="1"/>
    <col min="986" max="986" width="3" bestFit="1" customWidth="1"/>
    <col min="987" max="996" width="4" bestFit="1" customWidth="1"/>
    <col min="997" max="997" width="3" bestFit="1" customWidth="1"/>
    <col min="998" max="1007" width="4" bestFit="1" customWidth="1"/>
    <col min="1008" max="1008" width="10.77734375" bestFit="1" customWidth="1"/>
  </cols>
  <sheetData>
    <row r="2" spans="1:17" x14ac:dyDescent="0.3">
      <c r="A2" s="1" t="s">
        <v>0</v>
      </c>
      <c r="B2" t="s">
        <v>16</v>
      </c>
      <c r="D2" s="1" t="s">
        <v>0</v>
      </c>
      <c r="E2" t="s">
        <v>17</v>
      </c>
      <c r="G2" s="1" t="s">
        <v>0</v>
      </c>
      <c r="H2" t="s">
        <v>18</v>
      </c>
      <c r="J2" s="1" t="s">
        <v>0</v>
      </c>
      <c r="K2" t="s">
        <v>18</v>
      </c>
      <c r="M2" s="1" t="s">
        <v>0</v>
      </c>
      <c r="N2" t="s">
        <v>18</v>
      </c>
      <c r="P2" s="1" t="s">
        <v>0</v>
      </c>
      <c r="Q2" t="s">
        <v>18</v>
      </c>
    </row>
    <row r="3" spans="1:17" x14ac:dyDescent="0.3">
      <c r="A3" s="2" t="s">
        <v>1</v>
      </c>
      <c r="B3" s="9">
        <v>194</v>
      </c>
      <c r="D3" s="2" t="s">
        <v>1</v>
      </c>
      <c r="E3" s="4">
        <v>75792.149484536087</v>
      </c>
      <c r="G3" s="3">
        <v>2016</v>
      </c>
      <c r="H3" s="5">
        <v>86</v>
      </c>
      <c r="J3" s="2" t="s">
        <v>6</v>
      </c>
      <c r="K3" s="5">
        <v>329</v>
      </c>
      <c r="M3" s="2" t="s">
        <v>9</v>
      </c>
      <c r="N3" s="5">
        <v>329</v>
      </c>
      <c r="P3" s="2" t="s">
        <v>56</v>
      </c>
      <c r="Q3" s="5">
        <v>17</v>
      </c>
    </row>
    <row r="4" spans="1:17" x14ac:dyDescent="0.3">
      <c r="A4" s="2" t="s">
        <v>2</v>
      </c>
      <c r="B4" s="9">
        <v>207</v>
      </c>
      <c r="D4" s="2" t="s">
        <v>2</v>
      </c>
      <c r="E4" s="4">
        <v>75685.371980676326</v>
      </c>
      <c r="G4" s="3">
        <v>2017</v>
      </c>
      <c r="H4" s="5">
        <v>101</v>
      </c>
      <c r="J4" s="2" t="s">
        <v>7</v>
      </c>
      <c r="K4" s="5">
        <v>352</v>
      </c>
      <c r="M4" s="2" t="s">
        <v>10</v>
      </c>
      <c r="N4" s="5">
        <v>355</v>
      </c>
      <c r="P4" s="2" t="s">
        <v>13</v>
      </c>
      <c r="Q4" s="5">
        <v>53</v>
      </c>
    </row>
    <row r="5" spans="1:17" x14ac:dyDescent="0.3">
      <c r="A5" s="2" t="s">
        <v>3</v>
      </c>
      <c r="B5" s="9">
        <v>179</v>
      </c>
      <c r="D5" s="2" t="s">
        <v>3</v>
      </c>
      <c r="E5" s="4">
        <v>74788.195530726254</v>
      </c>
      <c r="G5" s="3">
        <v>2018</v>
      </c>
      <c r="H5" s="5">
        <v>122</v>
      </c>
      <c r="J5" s="2" t="s">
        <v>8</v>
      </c>
      <c r="K5" s="5">
        <v>319</v>
      </c>
      <c r="M5" s="2" t="s">
        <v>11</v>
      </c>
      <c r="N5" s="5">
        <v>316</v>
      </c>
      <c r="P5" s="2" t="s">
        <v>36</v>
      </c>
      <c r="Q5" s="5">
        <v>46</v>
      </c>
    </row>
    <row r="6" spans="1:17" x14ac:dyDescent="0.3">
      <c r="A6" s="2" t="s">
        <v>4</v>
      </c>
      <c r="B6" s="9">
        <v>209</v>
      </c>
      <c r="D6" s="2" t="s">
        <v>4</v>
      </c>
      <c r="E6" s="4">
        <v>75479.736842105267</v>
      </c>
      <c r="G6" s="3">
        <v>2019</v>
      </c>
      <c r="H6" s="5">
        <v>89</v>
      </c>
      <c r="J6" s="2" t="s">
        <v>5</v>
      </c>
      <c r="K6" s="5">
        <v>1000</v>
      </c>
      <c r="M6" s="2" t="s">
        <v>5</v>
      </c>
      <c r="N6" s="5">
        <v>1000</v>
      </c>
      <c r="P6" s="2" t="s">
        <v>29</v>
      </c>
      <c r="Q6" s="5">
        <v>45</v>
      </c>
    </row>
    <row r="7" spans="1:17" x14ac:dyDescent="0.3">
      <c r="A7" s="2" t="s">
        <v>49</v>
      </c>
      <c r="B7" s="9">
        <v>211</v>
      </c>
      <c r="D7" s="2" t="s">
        <v>49</v>
      </c>
      <c r="E7" s="4">
        <v>75393.691943127968</v>
      </c>
      <c r="G7" s="3">
        <v>2020</v>
      </c>
      <c r="H7" s="5">
        <v>100</v>
      </c>
      <c r="P7" s="2" t="s">
        <v>14</v>
      </c>
      <c r="Q7" s="5">
        <v>59</v>
      </c>
    </row>
    <row r="8" spans="1:17" x14ac:dyDescent="0.3">
      <c r="A8" s="2" t="s">
        <v>5</v>
      </c>
      <c r="B8" s="9">
        <v>1000</v>
      </c>
      <c r="D8" s="2" t="s">
        <v>5</v>
      </c>
      <c r="E8" s="4">
        <v>75440.97</v>
      </c>
      <c r="G8" s="3">
        <v>2021</v>
      </c>
      <c r="H8" s="5">
        <v>91</v>
      </c>
      <c r="P8" s="2" t="s">
        <v>57</v>
      </c>
      <c r="Q8" s="5">
        <v>43</v>
      </c>
    </row>
    <row r="9" spans="1:17" x14ac:dyDescent="0.3">
      <c r="G9" s="3">
        <v>2022</v>
      </c>
      <c r="H9" s="5">
        <v>103</v>
      </c>
      <c r="P9" s="2" t="s">
        <v>44</v>
      </c>
      <c r="Q9" s="5">
        <v>44</v>
      </c>
    </row>
    <row r="10" spans="1:17" x14ac:dyDescent="0.3">
      <c r="G10" s="3">
        <v>2023</v>
      </c>
      <c r="H10" s="5">
        <v>82</v>
      </c>
      <c r="P10" s="2" t="s">
        <v>12</v>
      </c>
      <c r="Q10" s="5">
        <v>42</v>
      </c>
    </row>
    <row r="11" spans="1:17" x14ac:dyDescent="0.3">
      <c r="A11" t="s">
        <v>18</v>
      </c>
      <c r="B11" s="1" t="s">
        <v>0</v>
      </c>
      <c r="C11" t="s">
        <v>18</v>
      </c>
      <c r="G11" s="3">
        <v>2024</v>
      </c>
      <c r="H11" s="5">
        <v>107</v>
      </c>
      <c r="P11" s="2" t="s">
        <v>30</v>
      </c>
      <c r="Q11" s="5">
        <v>52</v>
      </c>
    </row>
    <row r="12" spans="1:17" x14ac:dyDescent="0.3">
      <c r="A12" s="7">
        <v>1000</v>
      </c>
      <c r="B12" s="2" t="s">
        <v>107</v>
      </c>
      <c r="C12" s="9">
        <v>2</v>
      </c>
      <c r="G12" s="3">
        <v>2025</v>
      </c>
      <c r="H12" s="5">
        <v>98</v>
      </c>
      <c r="P12" s="2" t="s">
        <v>70</v>
      </c>
      <c r="Q12" s="5">
        <v>53</v>
      </c>
    </row>
    <row r="13" spans="1:17" x14ac:dyDescent="0.3">
      <c r="B13" s="2" t="s">
        <v>108</v>
      </c>
      <c r="C13" s="9">
        <v>3</v>
      </c>
      <c r="G13" s="3">
        <v>2026</v>
      </c>
      <c r="H13" s="5">
        <v>21</v>
      </c>
      <c r="P13" s="2" t="s">
        <v>71</v>
      </c>
      <c r="Q13" s="5">
        <v>57</v>
      </c>
    </row>
    <row r="14" spans="1:17" x14ac:dyDescent="0.3">
      <c r="A14" t="s">
        <v>17</v>
      </c>
      <c r="B14" s="2" t="s">
        <v>109</v>
      </c>
      <c r="C14" s="9">
        <v>1</v>
      </c>
      <c r="E14" s="1" t="s">
        <v>0</v>
      </c>
      <c r="G14" s="2" t="s">
        <v>5</v>
      </c>
      <c r="H14" s="5">
        <v>1000</v>
      </c>
      <c r="P14" s="2" t="s">
        <v>72</v>
      </c>
      <c r="Q14" s="5">
        <v>48</v>
      </c>
    </row>
    <row r="15" spans="1:17" x14ac:dyDescent="0.3">
      <c r="A15" s="6">
        <v>75440.97</v>
      </c>
      <c r="B15" s="2" t="s">
        <v>110</v>
      </c>
      <c r="C15" s="9">
        <v>4</v>
      </c>
      <c r="E15" s="2" t="s">
        <v>48</v>
      </c>
      <c r="P15" s="2" t="s">
        <v>15</v>
      </c>
      <c r="Q15" s="5">
        <v>47</v>
      </c>
    </row>
    <row r="16" spans="1:17" x14ac:dyDescent="0.3">
      <c r="B16" s="2" t="s">
        <v>111</v>
      </c>
      <c r="C16" s="9">
        <v>2</v>
      </c>
      <c r="E16" s="2" t="s">
        <v>39</v>
      </c>
      <c r="P16" s="2" t="s">
        <v>73</v>
      </c>
      <c r="Q16" s="5">
        <v>53</v>
      </c>
    </row>
    <row r="17" spans="1:17" x14ac:dyDescent="0.3">
      <c r="A17" t="s">
        <v>19</v>
      </c>
      <c r="B17" s="2" t="s">
        <v>112</v>
      </c>
      <c r="C17" s="9">
        <v>2</v>
      </c>
      <c r="E17" s="2" t="s">
        <v>58</v>
      </c>
      <c r="P17" s="2" t="s">
        <v>31</v>
      </c>
      <c r="Q17" s="5">
        <v>55</v>
      </c>
    </row>
    <row r="18" spans="1:17" x14ac:dyDescent="0.3">
      <c r="A18" s="6">
        <v>3.51</v>
      </c>
      <c r="B18" s="2" t="s">
        <v>113</v>
      </c>
      <c r="C18" s="9">
        <v>2</v>
      </c>
      <c r="E18" s="2" t="s">
        <v>59</v>
      </c>
      <c r="P18" s="2" t="s">
        <v>37</v>
      </c>
      <c r="Q18" s="5">
        <v>64</v>
      </c>
    </row>
    <row r="19" spans="1:17" x14ac:dyDescent="0.3">
      <c r="B19" s="2" t="s">
        <v>114</v>
      </c>
      <c r="C19" s="9">
        <v>7</v>
      </c>
      <c r="E19" s="2" t="s">
        <v>32</v>
      </c>
      <c r="P19" s="2" t="s">
        <v>38</v>
      </c>
      <c r="Q19" s="5">
        <v>62</v>
      </c>
    </row>
    <row r="20" spans="1:17" x14ac:dyDescent="0.3">
      <c r="A20" t="s">
        <v>21</v>
      </c>
      <c r="B20" s="2" t="s">
        <v>115</v>
      </c>
      <c r="C20" s="9">
        <v>2</v>
      </c>
      <c r="E20" s="2" t="s">
        <v>60</v>
      </c>
      <c r="P20" s="2" t="s">
        <v>45</v>
      </c>
      <c r="Q20" s="5">
        <v>57</v>
      </c>
    </row>
    <row r="21" spans="1:17" x14ac:dyDescent="0.3">
      <c r="A21" s="6">
        <v>5.1070000000000002</v>
      </c>
      <c r="B21" s="2" t="s">
        <v>116</v>
      </c>
      <c r="C21" s="9">
        <v>3</v>
      </c>
      <c r="E21" s="2" t="s">
        <v>61</v>
      </c>
      <c r="P21" s="2" t="s">
        <v>46</v>
      </c>
      <c r="Q21" s="5">
        <v>59</v>
      </c>
    </row>
    <row r="22" spans="1:17" x14ac:dyDescent="0.3">
      <c r="B22" s="2" t="s">
        <v>117</v>
      </c>
      <c r="C22" s="9">
        <v>2</v>
      </c>
      <c r="E22" s="2" t="s">
        <v>74</v>
      </c>
      <c r="P22" s="2" t="s">
        <v>47</v>
      </c>
      <c r="Q22" s="5">
        <v>44</v>
      </c>
    </row>
    <row r="23" spans="1:17" x14ac:dyDescent="0.3">
      <c r="B23" s="2" t="s">
        <v>118</v>
      </c>
      <c r="C23" s="9">
        <v>2</v>
      </c>
      <c r="E23" s="2" t="s">
        <v>75</v>
      </c>
      <c r="P23" s="2" t="s">
        <v>5</v>
      </c>
      <c r="Q23" s="5">
        <v>1000</v>
      </c>
    </row>
    <row r="24" spans="1:17" x14ac:dyDescent="0.3">
      <c r="B24" s="2" t="s">
        <v>119</v>
      </c>
      <c r="C24" s="9">
        <v>6</v>
      </c>
      <c r="E24" s="2" t="s">
        <v>76</v>
      </c>
    </row>
    <row r="25" spans="1:17" x14ac:dyDescent="0.3">
      <c r="B25" s="2" t="s">
        <v>120</v>
      </c>
      <c r="C25" s="9">
        <v>1</v>
      </c>
      <c r="E25" s="2" t="s">
        <v>77</v>
      </c>
    </row>
    <row r="26" spans="1:17" x14ac:dyDescent="0.3">
      <c r="B26" s="2" t="s">
        <v>121</v>
      </c>
      <c r="C26" s="9">
        <v>2</v>
      </c>
      <c r="E26" s="2" t="s">
        <v>5</v>
      </c>
    </row>
    <row r="27" spans="1:17" x14ac:dyDescent="0.3">
      <c r="B27" s="2" t="s">
        <v>122</v>
      </c>
      <c r="C27" s="9">
        <v>1</v>
      </c>
    </row>
    <row r="28" spans="1:17" x14ac:dyDescent="0.3">
      <c r="B28" s="2" t="s">
        <v>123</v>
      </c>
      <c r="C28" s="9">
        <v>5</v>
      </c>
    </row>
    <row r="29" spans="1:17" x14ac:dyDescent="0.3">
      <c r="B29" s="2" t="s">
        <v>124</v>
      </c>
      <c r="C29" s="9">
        <v>3</v>
      </c>
    </row>
    <row r="30" spans="1:17" x14ac:dyDescent="0.3">
      <c r="B30" s="2" t="s">
        <v>125</v>
      </c>
      <c r="C30" s="9">
        <v>3</v>
      </c>
    </row>
    <row r="31" spans="1:17" x14ac:dyDescent="0.3">
      <c r="B31" s="2" t="s">
        <v>126</v>
      </c>
      <c r="C31" s="9">
        <v>2</v>
      </c>
    </row>
    <row r="32" spans="1:17" x14ac:dyDescent="0.3">
      <c r="B32" s="2" t="s">
        <v>127</v>
      </c>
      <c r="C32" s="9">
        <v>4</v>
      </c>
    </row>
    <row r="33" spans="2:3" x14ac:dyDescent="0.3">
      <c r="B33" s="2" t="s">
        <v>128</v>
      </c>
      <c r="C33" s="9">
        <v>4</v>
      </c>
    </row>
    <row r="34" spans="2:3" x14ac:dyDescent="0.3">
      <c r="B34" s="2" t="s">
        <v>129</v>
      </c>
      <c r="C34" s="9">
        <v>7</v>
      </c>
    </row>
    <row r="35" spans="2:3" x14ac:dyDescent="0.3">
      <c r="B35" s="2" t="s">
        <v>130</v>
      </c>
      <c r="C35" s="9">
        <v>4</v>
      </c>
    </row>
    <row r="36" spans="2:3" x14ac:dyDescent="0.3">
      <c r="B36" s="2" t="s">
        <v>131</v>
      </c>
      <c r="C36" s="9">
        <v>6</v>
      </c>
    </row>
    <row r="37" spans="2:3" x14ac:dyDescent="0.3">
      <c r="B37" s="2" t="s">
        <v>132</v>
      </c>
      <c r="C37" s="9">
        <v>2</v>
      </c>
    </row>
    <row r="38" spans="2:3" x14ac:dyDescent="0.3">
      <c r="B38" s="2" t="s">
        <v>133</v>
      </c>
      <c r="C38" s="9">
        <v>1</v>
      </c>
    </row>
    <row r="39" spans="2:3" x14ac:dyDescent="0.3">
      <c r="B39" s="2" t="s">
        <v>134</v>
      </c>
      <c r="C39" s="9">
        <v>3</v>
      </c>
    </row>
    <row r="40" spans="2:3" x14ac:dyDescent="0.3">
      <c r="B40" s="2" t="s">
        <v>135</v>
      </c>
      <c r="C40" s="9">
        <v>1</v>
      </c>
    </row>
    <row r="41" spans="2:3" x14ac:dyDescent="0.3">
      <c r="B41" s="2" t="s">
        <v>136</v>
      </c>
      <c r="C41" s="9">
        <v>1</v>
      </c>
    </row>
    <row r="42" spans="2:3" x14ac:dyDescent="0.3">
      <c r="B42" s="2" t="s">
        <v>137</v>
      </c>
      <c r="C42" s="9">
        <v>3</v>
      </c>
    </row>
    <row r="43" spans="2:3" x14ac:dyDescent="0.3">
      <c r="B43" s="2" t="s">
        <v>138</v>
      </c>
      <c r="C43" s="9">
        <v>5</v>
      </c>
    </row>
    <row r="44" spans="2:3" x14ac:dyDescent="0.3">
      <c r="B44" s="2" t="s">
        <v>139</v>
      </c>
      <c r="C44" s="9">
        <v>6</v>
      </c>
    </row>
    <row r="45" spans="2:3" x14ac:dyDescent="0.3">
      <c r="B45" s="2" t="s">
        <v>140</v>
      </c>
      <c r="C45" s="9">
        <v>5</v>
      </c>
    </row>
    <row r="46" spans="2:3" x14ac:dyDescent="0.3">
      <c r="B46" s="2" t="s">
        <v>141</v>
      </c>
      <c r="C46" s="9">
        <v>1</v>
      </c>
    </row>
    <row r="47" spans="2:3" x14ac:dyDescent="0.3">
      <c r="B47" s="2" t="s">
        <v>142</v>
      </c>
      <c r="C47" s="9">
        <v>3</v>
      </c>
    </row>
    <row r="48" spans="2:3" x14ac:dyDescent="0.3">
      <c r="B48" s="2" t="s">
        <v>143</v>
      </c>
      <c r="C48" s="9">
        <v>3</v>
      </c>
    </row>
    <row r="49" spans="2:3" x14ac:dyDescent="0.3">
      <c r="B49" s="2" t="s">
        <v>144</v>
      </c>
      <c r="C49" s="9">
        <v>3</v>
      </c>
    </row>
    <row r="50" spans="2:3" x14ac:dyDescent="0.3">
      <c r="B50" s="2" t="s">
        <v>145</v>
      </c>
      <c r="C50" s="9">
        <v>4</v>
      </c>
    </row>
    <row r="51" spans="2:3" x14ac:dyDescent="0.3">
      <c r="B51" s="2" t="s">
        <v>146</v>
      </c>
      <c r="C51" s="9">
        <v>2</v>
      </c>
    </row>
    <row r="52" spans="2:3" x14ac:dyDescent="0.3">
      <c r="B52" s="2" t="s">
        <v>147</v>
      </c>
      <c r="C52" s="9">
        <v>1</v>
      </c>
    </row>
    <row r="53" spans="2:3" x14ac:dyDescent="0.3">
      <c r="B53" s="2" t="s">
        <v>148</v>
      </c>
      <c r="C53" s="9">
        <v>4</v>
      </c>
    </row>
    <row r="54" spans="2:3" x14ac:dyDescent="0.3">
      <c r="B54" s="2" t="s">
        <v>149</v>
      </c>
      <c r="C54" s="9">
        <v>3</v>
      </c>
    </row>
    <row r="55" spans="2:3" x14ac:dyDescent="0.3">
      <c r="B55" s="2" t="s">
        <v>150</v>
      </c>
      <c r="C55" s="9">
        <v>2</v>
      </c>
    </row>
    <row r="56" spans="2:3" x14ac:dyDescent="0.3">
      <c r="B56" s="2" t="s">
        <v>151</v>
      </c>
      <c r="C56" s="9">
        <v>4</v>
      </c>
    </row>
    <row r="57" spans="2:3" x14ac:dyDescent="0.3">
      <c r="B57" s="2" t="s">
        <v>152</v>
      </c>
      <c r="C57" s="9">
        <v>2</v>
      </c>
    </row>
    <row r="58" spans="2:3" x14ac:dyDescent="0.3">
      <c r="B58" s="2" t="s">
        <v>153</v>
      </c>
      <c r="C58" s="9">
        <v>2</v>
      </c>
    </row>
    <row r="59" spans="2:3" x14ac:dyDescent="0.3">
      <c r="B59" s="2" t="s">
        <v>154</v>
      </c>
      <c r="C59" s="9">
        <v>4</v>
      </c>
    </row>
    <row r="60" spans="2:3" x14ac:dyDescent="0.3">
      <c r="B60" s="2" t="s">
        <v>155</v>
      </c>
      <c r="C60" s="9">
        <v>5</v>
      </c>
    </row>
    <row r="61" spans="2:3" x14ac:dyDescent="0.3">
      <c r="B61" s="2" t="s">
        <v>156</v>
      </c>
      <c r="C61" s="9">
        <v>2</v>
      </c>
    </row>
    <row r="62" spans="2:3" x14ac:dyDescent="0.3">
      <c r="B62" s="2" t="s">
        <v>157</v>
      </c>
      <c r="C62" s="9">
        <v>1</v>
      </c>
    </row>
    <row r="63" spans="2:3" x14ac:dyDescent="0.3">
      <c r="B63" s="2" t="s">
        <v>158</v>
      </c>
      <c r="C63" s="9">
        <v>3</v>
      </c>
    </row>
    <row r="64" spans="2:3" x14ac:dyDescent="0.3">
      <c r="B64" s="2" t="s">
        <v>159</v>
      </c>
      <c r="C64" s="9">
        <v>1</v>
      </c>
    </row>
    <row r="65" spans="2:3" x14ac:dyDescent="0.3">
      <c r="B65" s="2" t="s">
        <v>160</v>
      </c>
      <c r="C65" s="9">
        <v>2</v>
      </c>
    </row>
    <row r="66" spans="2:3" x14ac:dyDescent="0.3">
      <c r="B66" s="2" t="s">
        <v>161</v>
      </c>
      <c r="C66" s="9">
        <v>3</v>
      </c>
    </row>
    <row r="67" spans="2:3" x14ac:dyDescent="0.3">
      <c r="B67" s="2" t="s">
        <v>162</v>
      </c>
      <c r="C67" s="9">
        <v>1</v>
      </c>
    </row>
    <row r="68" spans="2:3" x14ac:dyDescent="0.3">
      <c r="B68" s="2" t="s">
        <v>163</v>
      </c>
      <c r="C68" s="9">
        <v>1</v>
      </c>
    </row>
    <row r="69" spans="2:3" x14ac:dyDescent="0.3">
      <c r="B69" s="2" t="s">
        <v>78</v>
      </c>
      <c r="C69" s="9">
        <v>2</v>
      </c>
    </row>
    <row r="70" spans="2:3" x14ac:dyDescent="0.3">
      <c r="B70" s="2" t="s">
        <v>50</v>
      </c>
      <c r="C70" s="9">
        <v>5</v>
      </c>
    </row>
    <row r="71" spans="2:3" x14ac:dyDescent="0.3">
      <c r="B71" s="2" t="s">
        <v>40</v>
      </c>
      <c r="C71" s="9">
        <v>6</v>
      </c>
    </row>
    <row r="72" spans="2:3" x14ac:dyDescent="0.3">
      <c r="B72" s="2" t="s">
        <v>51</v>
      </c>
      <c r="C72" s="9">
        <v>7</v>
      </c>
    </row>
    <row r="73" spans="2:3" x14ac:dyDescent="0.3">
      <c r="B73" s="2" t="s">
        <v>62</v>
      </c>
      <c r="C73" s="9">
        <v>2</v>
      </c>
    </row>
    <row r="74" spans="2:3" x14ac:dyDescent="0.3">
      <c r="B74" s="2" t="s">
        <v>22</v>
      </c>
      <c r="C74" s="9">
        <v>4</v>
      </c>
    </row>
    <row r="75" spans="2:3" x14ac:dyDescent="0.3">
      <c r="B75" s="2" t="s">
        <v>23</v>
      </c>
      <c r="C75" s="9">
        <v>5</v>
      </c>
    </row>
    <row r="76" spans="2:3" x14ac:dyDescent="0.3">
      <c r="B76" s="2" t="s">
        <v>63</v>
      </c>
      <c r="C76" s="9">
        <v>1</v>
      </c>
    </row>
    <row r="77" spans="2:3" x14ac:dyDescent="0.3">
      <c r="B77" s="2" t="s">
        <v>79</v>
      </c>
      <c r="C77" s="9">
        <v>1</v>
      </c>
    </row>
    <row r="78" spans="2:3" x14ac:dyDescent="0.3">
      <c r="B78" s="2" t="s">
        <v>64</v>
      </c>
      <c r="C78" s="9">
        <v>4</v>
      </c>
    </row>
    <row r="79" spans="2:3" x14ac:dyDescent="0.3">
      <c r="B79" s="2" t="s">
        <v>41</v>
      </c>
      <c r="C79" s="9">
        <v>2</v>
      </c>
    </row>
    <row r="80" spans="2:3" x14ac:dyDescent="0.3">
      <c r="B80" s="2" t="s">
        <v>52</v>
      </c>
      <c r="C80" s="9">
        <v>6</v>
      </c>
    </row>
    <row r="81" spans="2:3" x14ac:dyDescent="0.3">
      <c r="B81" s="2" t="s">
        <v>53</v>
      </c>
      <c r="C81" s="9">
        <v>4</v>
      </c>
    </row>
    <row r="82" spans="2:3" x14ac:dyDescent="0.3">
      <c r="B82" s="2" t="s">
        <v>54</v>
      </c>
      <c r="C82" s="9">
        <v>2</v>
      </c>
    </row>
    <row r="83" spans="2:3" x14ac:dyDescent="0.3">
      <c r="B83" s="2" t="s">
        <v>42</v>
      </c>
      <c r="C83" s="9">
        <v>3</v>
      </c>
    </row>
    <row r="84" spans="2:3" x14ac:dyDescent="0.3">
      <c r="B84" s="2" t="s">
        <v>65</v>
      </c>
      <c r="C84" s="9">
        <v>1</v>
      </c>
    </row>
    <row r="85" spans="2:3" x14ac:dyDescent="0.3">
      <c r="B85" s="2" t="s">
        <v>55</v>
      </c>
      <c r="C85" s="9">
        <v>2</v>
      </c>
    </row>
    <row r="86" spans="2:3" x14ac:dyDescent="0.3">
      <c r="B86" s="2" t="s">
        <v>33</v>
      </c>
      <c r="C86" s="9">
        <v>5</v>
      </c>
    </row>
    <row r="87" spans="2:3" x14ac:dyDescent="0.3">
      <c r="B87" s="2" t="s">
        <v>24</v>
      </c>
      <c r="C87" s="9">
        <v>7</v>
      </c>
    </row>
    <row r="88" spans="2:3" x14ac:dyDescent="0.3">
      <c r="B88" s="2" t="s">
        <v>34</v>
      </c>
      <c r="C88" s="9">
        <v>2</v>
      </c>
    </row>
    <row r="89" spans="2:3" x14ac:dyDescent="0.3">
      <c r="B89" s="2" t="s">
        <v>25</v>
      </c>
      <c r="C89" s="9">
        <v>5</v>
      </c>
    </row>
    <row r="90" spans="2:3" x14ac:dyDescent="0.3">
      <c r="B90" s="2" t="s">
        <v>66</v>
      </c>
      <c r="C90" s="9">
        <v>3</v>
      </c>
    </row>
    <row r="91" spans="2:3" x14ac:dyDescent="0.3">
      <c r="B91" s="2" t="s">
        <v>67</v>
      </c>
      <c r="C91" s="9">
        <v>3</v>
      </c>
    </row>
    <row r="92" spans="2:3" x14ac:dyDescent="0.3">
      <c r="B92" s="2" t="s">
        <v>35</v>
      </c>
      <c r="C92" s="9">
        <v>5</v>
      </c>
    </row>
    <row r="93" spans="2:3" x14ac:dyDescent="0.3">
      <c r="B93" s="2" t="s">
        <v>68</v>
      </c>
      <c r="C93" s="9">
        <v>3</v>
      </c>
    </row>
    <row r="94" spans="2:3" x14ac:dyDescent="0.3">
      <c r="B94" s="2" t="s">
        <v>27</v>
      </c>
      <c r="C94" s="9">
        <v>4</v>
      </c>
    </row>
    <row r="95" spans="2:3" x14ac:dyDescent="0.3">
      <c r="B95" s="2" t="s">
        <v>43</v>
      </c>
      <c r="C95" s="9">
        <v>7</v>
      </c>
    </row>
    <row r="96" spans="2:3" x14ac:dyDescent="0.3">
      <c r="B96" s="2" t="s">
        <v>28</v>
      </c>
      <c r="C96" s="9">
        <v>5</v>
      </c>
    </row>
    <row r="97" spans="2:3" x14ac:dyDescent="0.3">
      <c r="B97" s="2" t="s">
        <v>69</v>
      </c>
      <c r="C97" s="9">
        <v>2</v>
      </c>
    </row>
    <row r="98" spans="2:3" x14ac:dyDescent="0.3">
      <c r="B98" s="2" t="s">
        <v>26</v>
      </c>
      <c r="C98" s="9">
        <v>3</v>
      </c>
    </row>
    <row r="99" spans="2:3" x14ac:dyDescent="0.3">
      <c r="B99" s="2" t="s">
        <v>164</v>
      </c>
      <c r="C99" s="9">
        <v>1</v>
      </c>
    </row>
    <row r="100" spans="2:3" x14ac:dyDescent="0.3">
      <c r="B100" s="2" t="s">
        <v>165</v>
      </c>
      <c r="C100" s="9">
        <v>8</v>
      </c>
    </row>
    <row r="101" spans="2:3" x14ac:dyDescent="0.3">
      <c r="B101" s="2" t="s">
        <v>166</v>
      </c>
      <c r="C101" s="9">
        <v>5</v>
      </c>
    </row>
    <row r="102" spans="2:3" x14ac:dyDescent="0.3">
      <c r="B102" s="2" t="s">
        <v>167</v>
      </c>
      <c r="C102" s="9">
        <v>6</v>
      </c>
    </row>
    <row r="103" spans="2:3" x14ac:dyDescent="0.3">
      <c r="B103" s="2" t="s">
        <v>168</v>
      </c>
      <c r="C103" s="9">
        <v>2</v>
      </c>
    </row>
    <row r="104" spans="2:3" x14ac:dyDescent="0.3">
      <c r="B104" s="2" t="s">
        <v>169</v>
      </c>
      <c r="C104" s="9">
        <v>2</v>
      </c>
    </row>
    <row r="105" spans="2:3" x14ac:dyDescent="0.3">
      <c r="B105" s="2" t="s">
        <v>170</v>
      </c>
      <c r="C105" s="9">
        <v>1</v>
      </c>
    </row>
    <row r="106" spans="2:3" x14ac:dyDescent="0.3">
      <c r="B106" s="2" t="s">
        <v>171</v>
      </c>
      <c r="C106" s="9">
        <v>4</v>
      </c>
    </row>
    <row r="107" spans="2:3" x14ac:dyDescent="0.3">
      <c r="B107" s="2" t="s">
        <v>172</v>
      </c>
      <c r="C107" s="9">
        <v>1</v>
      </c>
    </row>
    <row r="108" spans="2:3" x14ac:dyDescent="0.3">
      <c r="B108" s="2" t="s">
        <v>173</v>
      </c>
      <c r="C108" s="9">
        <v>4</v>
      </c>
    </row>
    <row r="109" spans="2:3" x14ac:dyDescent="0.3">
      <c r="B109" s="2" t="s">
        <v>174</v>
      </c>
      <c r="C109" s="9">
        <v>1</v>
      </c>
    </row>
    <row r="110" spans="2:3" x14ac:dyDescent="0.3">
      <c r="B110" s="2" t="s">
        <v>175</v>
      </c>
      <c r="C110" s="9">
        <v>2</v>
      </c>
    </row>
    <row r="111" spans="2:3" x14ac:dyDescent="0.3">
      <c r="B111" s="2" t="s">
        <v>176</v>
      </c>
      <c r="C111" s="9">
        <v>2</v>
      </c>
    </row>
    <row r="112" spans="2:3" x14ac:dyDescent="0.3">
      <c r="B112" s="2" t="s">
        <v>177</v>
      </c>
      <c r="C112" s="9">
        <v>3</v>
      </c>
    </row>
    <row r="113" spans="2:3" x14ac:dyDescent="0.3">
      <c r="B113" s="2" t="s">
        <v>178</v>
      </c>
      <c r="C113" s="9">
        <v>3</v>
      </c>
    </row>
    <row r="114" spans="2:3" x14ac:dyDescent="0.3">
      <c r="B114" s="2" t="s">
        <v>179</v>
      </c>
      <c r="C114" s="9">
        <v>2</v>
      </c>
    </row>
    <row r="115" spans="2:3" x14ac:dyDescent="0.3">
      <c r="B115" s="2" t="s">
        <v>180</v>
      </c>
      <c r="C115" s="9">
        <v>3</v>
      </c>
    </row>
    <row r="116" spans="2:3" x14ac:dyDescent="0.3">
      <c r="B116" s="2" t="s">
        <v>181</v>
      </c>
      <c r="C116" s="9">
        <v>1</v>
      </c>
    </row>
    <row r="117" spans="2:3" x14ac:dyDescent="0.3">
      <c r="B117" s="2" t="s">
        <v>182</v>
      </c>
      <c r="C117" s="9">
        <v>4</v>
      </c>
    </row>
    <row r="118" spans="2:3" x14ac:dyDescent="0.3">
      <c r="B118" s="2" t="s">
        <v>183</v>
      </c>
      <c r="C118" s="9">
        <v>6</v>
      </c>
    </row>
    <row r="119" spans="2:3" x14ac:dyDescent="0.3">
      <c r="B119" s="2" t="s">
        <v>184</v>
      </c>
      <c r="C119" s="9">
        <v>3</v>
      </c>
    </row>
    <row r="120" spans="2:3" x14ac:dyDescent="0.3">
      <c r="B120" s="2" t="s">
        <v>185</v>
      </c>
      <c r="C120" s="9">
        <v>4</v>
      </c>
    </row>
    <row r="121" spans="2:3" x14ac:dyDescent="0.3">
      <c r="B121" s="2" t="s">
        <v>186</v>
      </c>
      <c r="C121" s="9">
        <v>2</v>
      </c>
    </row>
    <row r="122" spans="2:3" x14ac:dyDescent="0.3">
      <c r="B122" s="2" t="s">
        <v>187</v>
      </c>
      <c r="C122" s="9">
        <v>3</v>
      </c>
    </row>
    <row r="123" spans="2:3" x14ac:dyDescent="0.3">
      <c r="B123" s="2" t="s">
        <v>188</v>
      </c>
      <c r="C123" s="9">
        <v>3</v>
      </c>
    </row>
    <row r="124" spans="2:3" x14ac:dyDescent="0.3">
      <c r="B124" s="2" t="s">
        <v>189</v>
      </c>
      <c r="C124" s="9">
        <v>3</v>
      </c>
    </row>
    <row r="125" spans="2:3" x14ac:dyDescent="0.3">
      <c r="B125" s="2" t="s">
        <v>190</v>
      </c>
      <c r="C125" s="9">
        <v>1</v>
      </c>
    </row>
    <row r="126" spans="2:3" x14ac:dyDescent="0.3">
      <c r="B126" s="2" t="s">
        <v>191</v>
      </c>
      <c r="C126" s="9">
        <v>4</v>
      </c>
    </row>
    <row r="127" spans="2:3" x14ac:dyDescent="0.3">
      <c r="B127" s="2" t="s">
        <v>192</v>
      </c>
      <c r="C127" s="9">
        <v>3</v>
      </c>
    </row>
    <row r="128" spans="2:3" x14ac:dyDescent="0.3">
      <c r="B128" s="2" t="s">
        <v>193</v>
      </c>
      <c r="C128" s="9">
        <v>4</v>
      </c>
    </row>
    <row r="129" spans="2:3" x14ac:dyDescent="0.3">
      <c r="B129" s="2" t="s">
        <v>194</v>
      </c>
      <c r="C129" s="9">
        <v>3</v>
      </c>
    </row>
    <row r="130" spans="2:3" x14ac:dyDescent="0.3">
      <c r="B130" s="2" t="s">
        <v>195</v>
      </c>
      <c r="C130" s="9">
        <v>1</v>
      </c>
    </row>
    <row r="131" spans="2:3" x14ac:dyDescent="0.3">
      <c r="B131" s="2" t="s">
        <v>196</v>
      </c>
      <c r="C131" s="9">
        <v>2</v>
      </c>
    </row>
    <row r="132" spans="2:3" x14ac:dyDescent="0.3">
      <c r="B132" s="2" t="s">
        <v>197</v>
      </c>
      <c r="C132" s="9">
        <v>2</v>
      </c>
    </row>
    <row r="133" spans="2:3" x14ac:dyDescent="0.3">
      <c r="B133" s="2" t="s">
        <v>198</v>
      </c>
      <c r="C133" s="9">
        <v>5</v>
      </c>
    </row>
    <row r="134" spans="2:3" x14ac:dyDescent="0.3">
      <c r="B134" s="2" t="s">
        <v>199</v>
      </c>
      <c r="C134" s="9">
        <v>2</v>
      </c>
    </row>
    <row r="135" spans="2:3" x14ac:dyDescent="0.3">
      <c r="B135" s="2" t="s">
        <v>200</v>
      </c>
      <c r="C135" s="9">
        <v>3</v>
      </c>
    </row>
    <row r="136" spans="2:3" x14ac:dyDescent="0.3">
      <c r="B136" s="2" t="s">
        <v>201</v>
      </c>
      <c r="C136" s="9">
        <v>2</v>
      </c>
    </row>
    <row r="137" spans="2:3" x14ac:dyDescent="0.3">
      <c r="B137" s="2" t="s">
        <v>202</v>
      </c>
      <c r="C137" s="9">
        <v>3</v>
      </c>
    </row>
    <row r="138" spans="2:3" x14ac:dyDescent="0.3">
      <c r="B138" s="2" t="s">
        <v>203</v>
      </c>
      <c r="C138" s="9">
        <v>3</v>
      </c>
    </row>
    <row r="139" spans="2:3" x14ac:dyDescent="0.3">
      <c r="B139" s="2" t="s">
        <v>204</v>
      </c>
      <c r="C139" s="9">
        <v>1</v>
      </c>
    </row>
    <row r="140" spans="2:3" x14ac:dyDescent="0.3">
      <c r="B140" s="2" t="s">
        <v>205</v>
      </c>
      <c r="C140" s="9">
        <v>4</v>
      </c>
    </row>
    <row r="141" spans="2:3" x14ac:dyDescent="0.3">
      <c r="B141" s="2" t="s">
        <v>206</v>
      </c>
      <c r="C141" s="9">
        <v>2</v>
      </c>
    </row>
    <row r="142" spans="2:3" x14ac:dyDescent="0.3">
      <c r="B142" s="2" t="s">
        <v>207</v>
      </c>
      <c r="C142" s="9">
        <v>4</v>
      </c>
    </row>
    <row r="143" spans="2:3" x14ac:dyDescent="0.3">
      <c r="B143" s="2" t="s">
        <v>208</v>
      </c>
      <c r="C143" s="9">
        <v>2</v>
      </c>
    </row>
    <row r="144" spans="2:3" x14ac:dyDescent="0.3">
      <c r="B144" s="2" t="s">
        <v>209</v>
      </c>
      <c r="C144" s="9">
        <v>2</v>
      </c>
    </row>
    <row r="145" spans="2:3" x14ac:dyDescent="0.3">
      <c r="B145" s="2" t="s">
        <v>210</v>
      </c>
      <c r="C145" s="9">
        <v>3</v>
      </c>
    </row>
    <row r="146" spans="2:3" x14ac:dyDescent="0.3">
      <c r="B146" s="2" t="s">
        <v>211</v>
      </c>
      <c r="C146" s="9">
        <v>2</v>
      </c>
    </row>
    <row r="147" spans="2:3" x14ac:dyDescent="0.3">
      <c r="B147" s="2" t="s">
        <v>212</v>
      </c>
      <c r="C147" s="9">
        <v>2</v>
      </c>
    </row>
    <row r="148" spans="2:3" x14ac:dyDescent="0.3">
      <c r="B148" s="2" t="s">
        <v>213</v>
      </c>
      <c r="C148" s="9">
        <v>2</v>
      </c>
    </row>
    <row r="149" spans="2:3" x14ac:dyDescent="0.3">
      <c r="B149" s="2" t="s">
        <v>214</v>
      </c>
      <c r="C149" s="9">
        <v>2</v>
      </c>
    </row>
    <row r="150" spans="2:3" x14ac:dyDescent="0.3">
      <c r="B150" s="2" t="s">
        <v>215</v>
      </c>
      <c r="C150" s="9">
        <v>3</v>
      </c>
    </row>
    <row r="151" spans="2:3" x14ac:dyDescent="0.3">
      <c r="B151" s="2" t="s">
        <v>216</v>
      </c>
      <c r="C151" s="9">
        <v>3</v>
      </c>
    </row>
    <row r="152" spans="2:3" x14ac:dyDescent="0.3">
      <c r="B152" s="2" t="s">
        <v>217</v>
      </c>
      <c r="C152" s="9">
        <v>2</v>
      </c>
    </row>
    <row r="153" spans="2:3" x14ac:dyDescent="0.3">
      <c r="B153" s="2" t="s">
        <v>218</v>
      </c>
      <c r="C153" s="9">
        <v>1</v>
      </c>
    </row>
    <row r="154" spans="2:3" x14ac:dyDescent="0.3">
      <c r="B154" s="2" t="s">
        <v>219</v>
      </c>
      <c r="C154" s="9">
        <v>4</v>
      </c>
    </row>
    <row r="155" spans="2:3" x14ac:dyDescent="0.3">
      <c r="B155" s="2" t="s">
        <v>220</v>
      </c>
      <c r="C155" s="9">
        <v>1</v>
      </c>
    </row>
    <row r="156" spans="2:3" x14ac:dyDescent="0.3">
      <c r="B156" s="2" t="s">
        <v>221</v>
      </c>
      <c r="C156" s="9">
        <v>2</v>
      </c>
    </row>
    <row r="157" spans="2:3" x14ac:dyDescent="0.3">
      <c r="B157" s="2" t="s">
        <v>222</v>
      </c>
      <c r="C157" s="9">
        <v>1</v>
      </c>
    </row>
    <row r="158" spans="2:3" x14ac:dyDescent="0.3">
      <c r="B158" s="2" t="s">
        <v>223</v>
      </c>
      <c r="C158" s="9">
        <v>1</v>
      </c>
    </row>
    <row r="159" spans="2:3" x14ac:dyDescent="0.3">
      <c r="B159" s="2" t="s">
        <v>224</v>
      </c>
      <c r="C159" s="9">
        <v>2</v>
      </c>
    </row>
    <row r="160" spans="2:3" x14ac:dyDescent="0.3">
      <c r="B160" s="2" t="s">
        <v>225</v>
      </c>
      <c r="C160" s="9">
        <v>3</v>
      </c>
    </row>
    <row r="161" spans="2:3" x14ac:dyDescent="0.3">
      <c r="B161" s="2" t="s">
        <v>226</v>
      </c>
      <c r="C161" s="9">
        <v>2</v>
      </c>
    </row>
    <row r="162" spans="2:3" x14ac:dyDescent="0.3">
      <c r="B162" s="2" t="s">
        <v>227</v>
      </c>
      <c r="C162" s="9">
        <v>1</v>
      </c>
    </row>
    <row r="163" spans="2:3" x14ac:dyDescent="0.3">
      <c r="B163" s="2" t="s">
        <v>228</v>
      </c>
      <c r="C163" s="9">
        <v>2</v>
      </c>
    </row>
    <row r="164" spans="2:3" x14ac:dyDescent="0.3">
      <c r="B164" s="2" t="s">
        <v>229</v>
      </c>
      <c r="C164" s="9">
        <v>3</v>
      </c>
    </row>
    <row r="165" spans="2:3" x14ac:dyDescent="0.3">
      <c r="B165" s="2" t="s">
        <v>230</v>
      </c>
      <c r="C165" s="9">
        <v>8</v>
      </c>
    </row>
    <row r="166" spans="2:3" x14ac:dyDescent="0.3">
      <c r="B166" s="2" t="s">
        <v>231</v>
      </c>
      <c r="C166" s="9">
        <v>4</v>
      </c>
    </row>
    <row r="167" spans="2:3" x14ac:dyDescent="0.3">
      <c r="B167" s="2" t="s">
        <v>232</v>
      </c>
      <c r="C167" s="9">
        <v>5</v>
      </c>
    </row>
    <row r="168" spans="2:3" x14ac:dyDescent="0.3">
      <c r="B168" s="2" t="s">
        <v>233</v>
      </c>
      <c r="C168" s="9">
        <v>3</v>
      </c>
    </row>
    <row r="169" spans="2:3" x14ac:dyDescent="0.3">
      <c r="B169" s="2" t="s">
        <v>234</v>
      </c>
      <c r="C169" s="9">
        <v>3</v>
      </c>
    </row>
    <row r="170" spans="2:3" x14ac:dyDescent="0.3">
      <c r="B170" s="2" t="s">
        <v>235</v>
      </c>
      <c r="C170" s="9">
        <v>4</v>
      </c>
    </row>
    <row r="171" spans="2:3" x14ac:dyDescent="0.3">
      <c r="B171" s="2" t="s">
        <v>236</v>
      </c>
      <c r="C171" s="9">
        <v>1</v>
      </c>
    </row>
    <row r="172" spans="2:3" x14ac:dyDescent="0.3">
      <c r="B172" s="2" t="s">
        <v>237</v>
      </c>
      <c r="C172" s="9">
        <v>3</v>
      </c>
    </row>
    <row r="173" spans="2:3" x14ac:dyDescent="0.3">
      <c r="B173" s="2" t="s">
        <v>238</v>
      </c>
      <c r="C173" s="9">
        <v>2</v>
      </c>
    </row>
    <row r="174" spans="2:3" x14ac:dyDescent="0.3">
      <c r="B174" s="2" t="s">
        <v>239</v>
      </c>
      <c r="C174" s="9">
        <v>2</v>
      </c>
    </row>
    <row r="175" spans="2:3" x14ac:dyDescent="0.3">
      <c r="B175" s="2" t="s">
        <v>240</v>
      </c>
      <c r="C175" s="9">
        <v>3</v>
      </c>
    </row>
    <row r="176" spans="2:3" x14ac:dyDescent="0.3">
      <c r="B176" s="2" t="s">
        <v>241</v>
      </c>
      <c r="C176" s="9">
        <v>2</v>
      </c>
    </row>
    <row r="177" spans="2:3" x14ac:dyDescent="0.3">
      <c r="B177" s="2" t="s">
        <v>242</v>
      </c>
      <c r="C177" s="9">
        <v>4</v>
      </c>
    </row>
    <row r="178" spans="2:3" x14ac:dyDescent="0.3">
      <c r="B178" s="2" t="s">
        <v>243</v>
      </c>
      <c r="C178" s="9">
        <v>2</v>
      </c>
    </row>
    <row r="179" spans="2:3" x14ac:dyDescent="0.3">
      <c r="B179" s="2" t="s">
        <v>244</v>
      </c>
      <c r="C179" s="9">
        <v>2</v>
      </c>
    </row>
    <row r="180" spans="2:3" x14ac:dyDescent="0.3">
      <c r="B180" s="2" t="s">
        <v>245</v>
      </c>
      <c r="C180" s="9">
        <v>6</v>
      </c>
    </row>
    <row r="181" spans="2:3" x14ac:dyDescent="0.3">
      <c r="B181" s="2" t="s">
        <v>246</v>
      </c>
      <c r="C181" s="9">
        <v>2</v>
      </c>
    </row>
    <row r="182" spans="2:3" x14ac:dyDescent="0.3">
      <c r="B182" s="2" t="s">
        <v>247</v>
      </c>
      <c r="C182" s="9">
        <v>2</v>
      </c>
    </row>
    <row r="183" spans="2:3" x14ac:dyDescent="0.3">
      <c r="B183" s="2" t="s">
        <v>248</v>
      </c>
      <c r="C183" s="9">
        <v>2</v>
      </c>
    </row>
    <row r="184" spans="2:3" x14ac:dyDescent="0.3">
      <c r="B184" s="2" t="s">
        <v>249</v>
      </c>
      <c r="C184" s="9">
        <v>6</v>
      </c>
    </row>
    <row r="185" spans="2:3" x14ac:dyDescent="0.3">
      <c r="B185" s="2" t="s">
        <v>250</v>
      </c>
      <c r="C185" s="9">
        <v>2</v>
      </c>
    </row>
    <row r="186" spans="2:3" x14ac:dyDescent="0.3">
      <c r="B186" s="2" t="s">
        <v>251</v>
      </c>
      <c r="C186" s="9">
        <v>2</v>
      </c>
    </row>
    <row r="187" spans="2:3" x14ac:dyDescent="0.3">
      <c r="B187" s="2" t="s">
        <v>252</v>
      </c>
      <c r="C187" s="9">
        <v>1</v>
      </c>
    </row>
    <row r="188" spans="2:3" x14ac:dyDescent="0.3">
      <c r="B188" s="2" t="s">
        <v>253</v>
      </c>
      <c r="C188" s="9">
        <v>1</v>
      </c>
    </row>
    <row r="189" spans="2:3" x14ac:dyDescent="0.3">
      <c r="B189" s="2" t="s">
        <v>254</v>
      </c>
      <c r="C189" s="9">
        <v>2</v>
      </c>
    </row>
    <row r="190" spans="2:3" x14ac:dyDescent="0.3">
      <c r="B190" s="2" t="s">
        <v>255</v>
      </c>
      <c r="C190" s="9">
        <v>4</v>
      </c>
    </row>
    <row r="191" spans="2:3" x14ac:dyDescent="0.3">
      <c r="B191" s="2" t="s">
        <v>256</v>
      </c>
      <c r="C191" s="9">
        <v>2</v>
      </c>
    </row>
    <row r="192" spans="2:3" x14ac:dyDescent="0.3">
      <c r="B192" s="2" t="s">
        <v>257</v>
      </c>
      <c r="C192" s="9">
        <v>3</v>
      </c>
    </row>
    <row r="193" spans="2:3" x14ac:dyDescent="0.3">
      <c r="B193" s="2" t="s">
        <v>258</v>
      </c>
      <c r="C193" s="9">
        <v>1</v>
      </c>
    </row>
    <row r="194" spans="2:3" x14ac:dyDescent="0.3">
      <c r="B194" s="2" t="s">
        <v>259</v>
      </c>
      <c r="C194" s="9">
        <v>5</v>
      </c>
    </row>
    <row r="195" spans="2:3" x14ac:dyDescent="0.3">
      <c r="B195" s="2" t="s">
        <v>260</v>
      </c>
      <c r="C195" s="9">
        <v>2</v>
      </c>
    </row>
    <row r="196" spans="2:3" x14ac:dyDescent="0.3">
      <c r="B196" s="2" t="s">
        <v>261</v>
      </c>
      <c r="C196" s="9">
        <v>3</v>
      </c>
    </row>
    <row r="197" spans="2:3" x14ac:dyDescent="0.3">
      <c r="B197" s="2" t="s">
        <v>262</v>
      </c>
      <c r="C197" s="9">
        <v>4</v>
      </c>
    </row>
    <row r="198" spans="2:3" x14ac:dyDescent="0.3">
      <c r="B198" s="2" t="s">
        <v>263</v>
      </c>
      <c r="C198" s="9">
        <v>5</v>
      </c>
    </row>
    <row r="199" spans="2:3" x14ac:dyDescent="0.3">
      <c r="B199" s="2" t="s">
        <v>264</v>
      </c>
      <c r="C199" s="9">
        <v>2</v>
      </c>
    </row>
    <row r="200" spans="2:3" x14ac:dyDescent="0.3">
      <c r="B200" s="2" t="s">
        <v>265</v>
      </c>
      <c r="C200" s="9">
        <v>4</v>
      </c>
    </row>
    <row r="201" spans="2:3" x14ac:dyDescent="0.3">
      <c r="B201" s="2" t="s">
        <v>266</v>
      </c>
      <c r="C201" s="9">
        <v>3</v>
      </c>
    </row>
    <row r="202" spans="2:3" x14ac:dyDescent="0.3">
      <c r="B202" s="2" t="s">
        <v>267</v>
      </c>
      <c r="C202" s="9">
        <v>2</v>
      </c>
    </row>
    <row r="203" spans="2:3" x14ac:dyDescent="0.3">
      <c r="B203" s="2" t="s">
        <v>268</v>
      </c>
      <c r="C203" s="9">
        <v>4</v>
      </c>
    </row>
    <row r="204" spans="2:3" x14ac:dyDescent="0.3">
      <c r="B204" s="2" t="s">
        <v>269</v>
      </c>
      <c r="C204" s="9">
        <v>2</v>
      </c>
    </row>
    <row r="205" spans="2:3" x14ac:dyDescent="0.3">
      <c r="B205" s="2" t="s">
        <v>270</v>
      </c>
      <c r="C205" s="9">
        <v>2</v>
      </c>
    </row>
    <row r="206" spans="2:3" x14ac:dyDescent="0.3">
      <c r="B206" s="2" t="s">
        <v>271</v>
      </c>
      <c r="C206" s="9">
        <v>1</v>
      </c>
    </row>
    <row r="207" spans="2:3" x14ac:dyDescent="0.3">
      <c r="B207" s="2" t="s">
        <v>272</v>
      </c>
      <c r="C207" s="9">
        <v>1</v>
      </c>
    </row>
    <row r="208" spans="2:3" x14ac:dyDescent="0.3">
      <c r="B208" s="2" t="s">
        <v>273</v>
      </c>
      <c r="C208" s="9">
        <v>3</v>
      </c>
    </row>
    <row r="209" spans="2:3" x14ac:dyDescent="0.3">
      <c r="B209" s="2" t="s">
        <v>274</v>
      </c>
      <c r="C209" s="9">
        <v>5</v>
      </c>
    </row>
    <row r="210" spans="2:3" x14ac:dyDescent="0.3">
      <c r="B210" s="2" t="s">
        <v>275</v>
      </c>
      <c r="C210" s="9">
        <v>1</v>
      </c>
    </row>
    <row r="211" spans="2:3" x14ac:dyDescent="0.3">
      <c r="B211" s="2" t="s">
        <v>276</v>
      </c>
      <c r="C211" s="9">
        <v>1</v>
      </c>
    </row>
    <row r="212" spans="2:3" x14ac:dyDescent="0.3">
      <c r="B212" s="2" t="s">
        <v>277</v>
      </c>
      <c r="C212" s="9">
        <v>5</v>
      </c>
    </row>
    <row r="213" spans="2:3" x14ac:dyDescent="0.3">
      <c r="B213" s="2" t="s">
        <v>278</v>
      </c>
      <c r="C213" s="9">
        <v>2</v>
      </c>
    </row>
    <row r="214" spans="2:3" x14ac:dyDescent="0.3">
      <c r="B214" s="2" t="s">
        <v>279</v>
      </c>
      <c r="C214" s="9">
        <v>2</v>
      </c>
    </row>
    <row r="215" spans="2:3" x14ac:dyDescent="0.3">
      <c r="B215" s="2" t="s">
        <v>280</v>
      </c>
      <c r="C215" s="9">
        <v>3</v>
      </c>
    </row>
    <row r="216" spans="2:3" x14ac:dyDescent="0.3">
      <c r="B216" s="2" t="s">
        <v>281</v>
      </c>
      <c r="C216" s="9">
        <v>4</v>
      </c>
    </row>
    <row r="217" spans="2:3" x14ac:dyDescent="0.3">
      <c r="B217" s="2" t="s">
        <v>282</v>
      </c>
      <c r="C217" s="9">
        <v>3</v>
      </c>
    </row>
    <row r="218" spans="2:3" x14ac:dyDescent="0.3">
      <c r="B218" s="2" t="s">
        <v>283</v>
      </c>
      <c r="C218" s="9">
        <v>5</v>
      </c>
    </row>
    <row r="219" spans="2:3" x14ac:dyDescent="0.3">
      <c r="B219" s="2" t="s">
        <v>284</v>
      </c>
      <c r="C219" s="9">
        <v>2</v>
      </c>
    </row>
    <row r="220" spans="2:3" x14ac:dyDescent="0.3">
      <c r="B220" s="2" t="s">
        <v>285</v>
      </c>
      <c r="C220" s="9">
        <v>4</v>
      </c>
    </row>
    <row r="221" spans="2:3" x14ac:dyDescent="0.3">
      <c r="B221" s="2" t="s">
        <v>286</v>
      </c>
      <c r="C221" s="9">
        <v>4</v>
      </c>
    </row>
    <row r="222" spans="2:3" x14ac:dyDescent="0.3">
      <c r="B222" s="2" t="s">
        <v>287</v>
      </c>
      <c r="C222" s="9">
        <v>2</v>
      </c>
    </row>
    <row r="223" spans="2:3" x14ac:dyDescent="0.3">
      <c r="B223" s="2" t="s">
        <v>288</v>
      </c>
      <c r="C223" s="9">
        <v>3</v>
      </c>
    </row>
    <row r="224" spans="2:3" x14ac:dyDescent="0.3">
      <c r="B224" s="2" t="s">
        <v>289</v>
      </c>
      <c r="C224" s="9">
        <v>3</v>
      </c>
    </row>
    <row r="225" spans="2:3" x14ac:dyDescent="0.3">
      <c r="B225" s="2" t="s">
        <v>290</v>
      </c>
      <c r="C225" s="9">
        <v>3</v>
      </c>
    </row>
    <row r="226" spans="2:3" x14ac:dyDescent="0.3">
      <c r="B226" s="2" t="s">
        <v>291</v>
      </c>
      <c r="C226" s="9">
        <v>2</v>
      </c>
    </row>
    <row r="227" spans="2:3" x14ac:dyDescent="0.3">
      <c r="B227" s="2" t="s">
        <v>292</v>
      </c>
      <c r="C227" s="9">
        <v>1</v>
      </c>
    </row>
    <row r="228" spans="2:3" x14ac:dyDescent="0.3">
      <c r="B228" s="2" t="s">
        <v>293</v>
      </c>
      <c r="C228" s="9">
        <v>1</v>
      </c>
    </row>
    <row r="229" spans="2:3" x14ac:dyDescent="0.3">
      <c r="B229" s="2" t="s">
        <v>294</v>
      </c>
      <c r="C229" s="9">
        <v>2</v>
      </c>
    </row>
    <row r="230" spans="2:3" x14ac:dyDescent="0.3">
      <c r="B230" s="2" t="s">
        <v>295</v>
      </c>
      <c r="C230" s="9">
        <v>1</v>
      </c>
    </row>
    <row r="231" spans="2:3" x14ac:dyDescent="0.3">
      <c r="B231" s="2" t="s">
        <v>296</v>
      </c>
      <c r="C231" s="9">
        <v>2</v>
      </c>
    </row>
    <row r="232" spans="2:3" x14ac:dyDescent="0.3">
      <c r="B232" s="2" t="s">
        <v>297</v>
      </c>
      <c r="C232" s="9">
        <v>5</v>
      </c>
    </row>
    <row r="233" spans="2:3" x14ac:dyDescent="0.3">
      <c r="B233" s="2" t="s">
        <v>298</v>
      </c>
      <c r="C233" s="9">
        <v>5</v>
      </c>
    </row>
    <row r="234" spans="2:3" x14ac:dyDescent="0.3">
      <c r="B234" s="2" t="s">
        <v>299</v>
      </c>
      <c r="C234" s="9">
        <v>1</v>
      </c>
    </row>
    <row r="235" spans="2:3" x14ac:dyDescent="0.3">
      <c r="B235" s="2" t="s">
        <v>300</v>
      </c>
      <c r="C235" s="9">
        <v>1</v>
      </c>
    </row>
    <row r="236" spans="2:3" x14ac:dyDescent="0.3">
      <c r="B236" s="2" t="s">
        <v>301</v>
      </c>
      <c r="C236" s="9">
        <v>3</v>
      </c>
    </row>
    <row r="237" spans="2:3" x14ac:dyDescent="0.3">
      <c r="B237" s="2" t="s">
        <v>302</v>
      </c>
      <c r="C237" s="9">
        <v>1</v>
      </c>
    </row>
    <row r="238" spans="2:3" x14ac:dyDescent="0.3">
      <c r="B238" s="2" t="s">
        <v>303</v>
      </c>
      <c r="C238" s="9">
        <v>2</v>
      </c>
    </row>
    <row r="239" spans="2:3" x14ac:dyDescent="0.3">
      <c r="B239" s="2" t="s">
        <v>304</v>
      </c>
      <c r="C239" s="9">
        <v>3</v>
      </c>
    </row>
    <row r="240" spans="2:3" x14ac:dyDescent="0.3">
      <c r="B240" s="2" t="s">
        <v>305</v>
      </c>
      <c r="C240" s="9">
        <v>1</v>
      </c>
    </row>
    <row r="241" spans="2:3" x14ac:dyDescent="0.3">
      <c r="B241" s="2" t="s">
        <v>306</v>
      </c>
      <c r="C241" s="9">
        <v>1</v>
      </c>
    </row>
    <row r="242" spans="2:3" x14ac:dyDescent="0.3">
      <c r="B242" s="2" t="s">
        <v>307</v>
      </c>
      <c r="C242" s="9">
        <v>5</v>
      </c>
    </row>
    <row r="243" spans="2:3" x14ac:dyDescent="0.3">
      <c r="B243" s="2" t="s">
        <v>308</v>
      </c>
      <c r="C243" s="9">
        <v>3</v>
      </c>
    </row>
    <row r="244" spans="2:3" x14ac:dyDescent="0.3">
      <c r="B244" s="2" t="s">
        <v>309</v>
      </c>
      <c r="C244" s="9">
        <v>5</v>
      </c>
    </row>
    <row r="245" spans="2:3" x14ac:dyDescent="0.3">
      <c r="B245" s="2" t="s">
        <v>310</v>
      </c>
      <c r="C245" s="9">
        <v>3</v>
      </c>
    </row>
    <row r="246" spans="2:3" x14ac:dyDescent="0.3">
      <c r="B246" s="2" t="s">
        <v>311</v>
      </c>
      <c r="C246" s="9">
        <v>4</v>
      </c>
    </row>
    <row r="247" spans="2:3" x14ac:dyDescent="0.3">
      <c r="B247" s="2" t="s">
        <v>312</v>
      </c>
      <c r="C247" s="9">
        <v>3</v>
      </c>
    </row>
    <row r="248" spans="2:3" x14ac:dyDescent="0.3">
      <c r="B248" s="2" t="s">
        <v>313</v>
      </c>
      <c r="C248" s="9">
        <v>2</v>
      </c>
    </row>
    <row r="249" spans="2:3" x14ac:dyDescent="0.3">
      <c r="B249" s="2" t="s">
        <v>314</v>
      </c>
      <c r="C249" s="9">
        <v>2</v>
      </c>
    </row>
    <row r="250" spans="2:3" x14ac:dyDescent="0.3">
      <c r="B250" s="2" t="s">
        <v>315</v>
      </c>
      <c r="C250" s="9">
        <v>1</v>
      </c>
    </row>
    <row r="251" spans="2:3" x14ac:dyDescent="0.3">
      <c r="B251" s="2" t="s">
        <v>316</v>
      </c>
      <c r="C251" s="9">
        <v>3</v>
      </c>
    </row>
    <row r="252" spans="2:3" x14ac:dyDescent="0.3">
      <c r="B252" s="2" t="s">
        <v>317</v>
      </c>
      <c r="C252" s="9">
        <v>3</v>
      </c>
    </row>
    <row r="253" spans="2:3" x14ac:dyDescent="0.3">
      <c r="B253" s="2" t="s">
        <v>318</v>
      </c>
      <c r="C253" s="9">
        <v>2</v>
      </c>
    </row>
    <row r="254" spans="2:3" x14ac:dyDescent="0.3">
      <c r="B254" s="2" t="s">
        <v>319</v>
      </c>
      <c r="C254" s="9">
        <v>2</v>
      </c>
    </row>
    <row r="255" spans="2:3" x14ac:dyDescent="0.3">
      <c r="B255" s="2" t="s">
        <v>320</v>
      </c>
      <c r="C255" s="9">
        <v>2</v>
      </c>
    </row>
    <row r="256" spans="2:3" x14ac:dyDescent="0.3">
      <c r="B256" s="2" t="s">
        <v>321</v>
      </c>
      <c r="C256" s="9">
        <v>2</v>
      </c>
    </row>
    <row r="257" spans="2:3" x14ac:dyDescent="0.3">
      <c r="B257" s="2" t="s">
        <v>322</v>
      </c>
      <c r="C257" s="9">
        <v>4</v>
      </c>
    </row>
    <row r="258" spans="2:3" x14ac:dyDescent="0.3">
      <c r="B258" s="2" t="s">
        <v>323</v>
      </c>
      <c r="C258" s="9">
        <v>4</v>
      </c>
    </row>
    <row r="259" spans="2:3" x14ac:dyDescent="0.3">
      <c r="B259" s="2" t="s">
        <v>324</v>
      </c>
      <c r="C259" s="9">
        <v>2</v>
      </c>
    </row>
    <row r="260" spans="2:3" x14ac:dyDescent="0.3">
      <c r="B260" s="2" t="s">
        <v>325</v>
      </c>
      <c r="C260" s="9">
        <v>3</v>
      </c>
    </row>
    <row r="261" spans="2:3" x14ac:dyDescent="0.3">
      <c r="B261" s="2" t="s">
        <v>326</v>
      </c>
      <c r="C261" s="9">
        <v>1</v>
      </c>
    </row>
    <row r="262" spans="2:3" x14ac:dyDescent="0.3">
      <c r="B262" s="2" t="s">
        <v>327</v>
      </c>
      <c r="C262" s="9">
        <v>1</v>
      </c>
    </row>
    <row r="263" spans="2:3" x14ac:dyDescent="0.3">
      <c r="B263" s="2" t="s">
        <v>328</v>
      </c>
      <c r="C263" s="9">
        <v>2</v>
      </c>
    </row>
    <row r="264" spans="2:3" x14ac:dyDescent="0.3">
      <c r="B264" s="2" t="s">
        <v>329</v>
      </c>
      <c r="C264" s="9">
        <v>4</v>
      </c>
    </row>
    <row r="265" spans="2:3" x14ac:dyDescent="0.3">
      <c r="B265" s="2" t="s">
        <v>330</v>
      </c>
      <c r="C265" s="9">
        <v>3</v>
      </c>
    </row>
    <row r="266" spans="2:3" x14ac:dyDescent="0.3">
      <c r="B266" s="2" t="s">
        <v>331</v>
      </c>
      <c r="C266" s="9">
        <v>5</v>
      </c>
    </row>
    <row r="267" spans="2:3" x14ac:dyDescent="0.3">
      <c r="B267" s="2" t="s">
        <v>332</v>
      </c>
      <c r="C267" s="9">
        <v>3</v>
      </c>
    </row>
    <row r="268" spans="2:3" x14ac:dyDescent="0.3">
      <c r="B268" s="2" t="s">
        <v>333</v>
      </c>
      <c r="C268" s="9">
        <v>2</v>
      </c>
    </row>
    <row r="269" spans="2:3" x14ac:dyDescent="0.3">
      <c r="B269" s="2" t="s">
        <v>334</v>
      </c>
      <c r="C269" s="9">
        <v>3</v>
      </c>
    </row>
    <row r="270" spans="2:3" x14ac:dyDescent="0.3">
      <c r="B270" s="2" t="s">
        <v>335</v>
      </c>
      <c r="C270" s="9">
        <v>4</v>
      </c>
    </row>
    <row r="271" spans="2:3" x14ac:dyDescent="0.3">
      <c r="B271" s="2" t="s">
        <v>336</v>
      </c>
      <c r="C271" s="9">
        <v>1</v>
      </c>
    </row>
    <row r="272" spans="2:3" x14ac:dyDescent="0.3">
      <c r="B272" s="2" t="s">
        <v>337</v>
      </c>
      <c r="C272" s="9">
        <v>3</v>
      </c>
    </row>
    <row r="273" spans="2:3" x14ac:dyDescent="0.3">
      <c r="B273" s="2" t="s">
        <v>338</v>
      </c>
      <c r="C273" s="9">
        <v>2</v>
      </c>
    </row>
    <row r="274" spans="2:3" x14ac:dyDescent="0.3">
      <c r="B274" s="2" t="s">
        <v>339</v>
      </c>
      <c r="C274" s="9">
        <v>1</v>
      </c>
    </row>
    <row r="275" spans="2:3" x14ac:dyDescent="0.3">
      <c r="B275" s="2" t="s">
        <v>340</v>
      </c>
      <c r="C275" s="9">
        <v>5</v>
      </c>
    </row>
    <row r="276" spans="2:3" x14ac:dyDescent="0.3">
      <c r="B276" s="2" t="s">
        <v>341</v>
      </c>
      <c r="C276" s="9">
        <v>2</v>
      </c>
    </row>
    <row r="277" spans="2:3" x14ac:dyDescent="0.3">
      <c r="B277" s="2" t="s">
        <v>342</v>
      </c>
      <c r="C277" s="9">
        <v>4</v>
      </c>
    </row>
    <row r="278" spans="2:3" x14ac:dyDescent="0.3">
      <c r="B278" s="2" t="s">
        <v>343</v>
      </c>
      <c r="C278" s="9">
        <v>4</v>
      </c>
    </row>
    <row r="279" spans="2:3" x14ac:dyDescent="0.3">
      <c r="B279" s="2" t="s">
        <v>344</v>
      </c>
      <c r="C279" s="9">
        <v>5</v>
      </c>
    </row>
    <row r="280" spans="2:3" x14ac:dyDescent="0.3">
      <c r="B280" s="2" t="s">
        <v>345</v>
      </c>
      <c r="C280" s="9">
        <v>2</v>
      </c>
    </row>
    <row r="281" spans="2:3" x14ac:dyDescent="0.3">
      <c r="B281" s="2" t="s">
        <v>346</v>
      </c>
      <c r="C281" s="9">
        <v>3</v>
      </c>
    </row>
    <row r="282" spans="2:3" x14ac:dyDescent="0.3">
      <c r="B282" s="2" t="s">
        <v>347</v>
      </c>
      <c r="C282" s="9">
        <v>1</v>
      </c>
    </row>
    <row r="283" spans="2:3" x14ac:dyDescent="0.3">
      <c r="B283" s="2" t="s">
        <v>348</v>
      </c>
      <c r="C283" s="9">
        <v>4</v>
      </c>
    </row>
    <row r="284" spans="2:3" x14ac:dyDescent="0.3">
      <c r="B284" s="2" t="s">
        <v>349</v>
      </c>
      <c r="C284" s="9">
        <v>1</v>
      </c>
    </row>
    <row r="285" spans="2:3" x14ac:dyDescent="0.3">
      <c r="B285" s="2" t="s">
        <v>350</v>
      </c>
      <c r="C285" s="9">
        <v>1</v>
      </c>
    </row>
    <row r="286" spans="2:3" x14ac:dyDescent="0.3">
      <c r="B286" s="2" t="s">
        <v>351</v>
      </c>
      <c r="C286" s="9">
        <v>3</v>
      </c>
    </row>
    <row r="287" spans="2:3" x14ac:dyDescent="0.3">
      <c r="B287" s="2" t="s">
        <v>352</v>
      </c>
      <c r="C287" s="9">
        <v>3</v>
      </c>
    </row>
    <row r="288" spans="2:3" x14ac:dyDescent="0.3">
      <c r="B288" s="2" t="s">
        <v>353</v>
      </c>
      <c r="C288" s="9">
        <v>5</v>
      </c>
    </row>
    <row r="289" spans="2:3" x14ac:dyDescent="0.3">
      <c r="B289" s="2" t="s">
        <v>354</v>
      </c>
      <c r="C289" s="9">
        <v>4</v>
      </c>
    </row>
    <row r="290" spans="2:3" x14ac:dyDescent="0.3">
      <c r="B290" s="2" t="s">
        <v>355</v>
      </c>
      <c r="C290" s="9">
        <v>1</v>
      </c>
    </row>
    <row r="291" spans="2:3" x14ac:dyDescent="0.3">
      <c r="B291" s="2" t="s">
        <v>356</v>
      </c>
      <c r="C291" s="9">
        <v>2</v>
      </c>
    </row>
    <row r="292" spans="2:3" x14ac:dyDescent="0.3">
      <c r="B292" s="2" t="s">
        <v>357</v>
      </c>
      <c r="C292" s="9">
        <v>3</v>
      </c>
    </row>
    <row r="293" spans="2:3" x14ac:dyDescent="0.3">
      <c r="B293" s="2" t="s">
        <v>358</v>
      </c>
      <c r="C293" s="9">
        <v>3</v>
      </c>
    </row>
    <row r="294" spans="2:3" x14ac:dyDescent="0.3">
      <c r="B294" s="2" t="s">
        <v>359</v>
      </c>
      <c r="C294" s="9">
        <v>3</v>
      </c>
    </row>
    <row r="295" spans="2:3" x14ac:dyDescent="0.3">
      <c r="B295" s="2" t="s">
        <v>360</v>
      </c>
      <c r="C295" s="9">
        <v>3</v>
      </c>
    </row>
    <row r="296" spans="2:3" x14ac:dyDescent="0.3">
      <c r="B296" s="2" t="s">
        <v>361</v>
      </c>
      <c r="C296" s="9">
        <v>3</v>
      </c>
    </row>
    <row r="297" spans="2:3" x14ac:dyDescent="0.3">
      <c r="B297" s="2" t="s">
        <v>362</v>
      </c>
      <c r="C297" s="9">
        <v>4</v>
      </c>
    </row>
    <row r="298" spans="2:3" x14ac:dyDescent="0.3">
      <c r="B298" s="2" t="s">
        <v>363</v>
      </c>
      <c r="C298" s="9">
        <v>2</v>
      </c>
    </row>
    <row r="299" spans="2:3" x14ac:dyDescent="0.3">
      <c r="B299" s="2" t="s">
        <v>364</v>
      </c>
      <c r="C299" s="9">
        <v>3</v>
      </c>
    </row>
    <row r="300" spans="2:3" x14ac:dyDescent="0.3">
      <c r="B300" s="2" t="s">
        <v>365</v>
      </c>
      <c r="C300" s="9">
        <v>5</v>
      </c>
    </row>
    <row r="301" spans="2:3" x14ac:dyDescent="0.3">
      <c r="B301" s="2" t="s">
        <v>80</v>
      </c>
      <c r="C301" s="9">
        <v>1</v>
      </c>
    </row>
    <row r="302" spans="2:3" x14ac:dyDescent="0.3">
      <c r="B302" s="2" t="s">
        <v>81</v>
      </c>
      <c r="C302" s="9">
        <v>2</v>
      </c>
    </row>
    <row r="303" spans="2:3" x14ac:dyDescent="0.3">
      <c r="B303" s="2" t="s">
        <v>82</v>
      </c>
      <c r="C303" s="9">
        <v>1</v>
      </c>
    </row>
    <row r="304" spans="2:3" x14ac:dyDescent="0.3">
      <c r="B304" s="2" t="s">
        <v>83</v>
      </c>
      <c r="C304" s="9">
        <v>5</v>
      </c>
    </row>
    <row r="305" spans="2:3" x14ac:dyDescent="0.3">
      <c r="B305" s="2" t="s">
        <v>84</v>
      </c>
      <c r="C305" s="9">
        <v>4</v>
      </c>
    </row>
    <row r="306" spans="2:3" x14ac:dyDescent="0.3">
      <c r="B306" s="2" t="s">
        <v>85</v>
      </c>
      <c r="C306" s="9">
        <v>1</v>
      </c>
    </row>
    <row r="307" spans="2:3" x14ac:dyDescent="0.3">
      <c r="B307" s="2" t="s">
        <v>86</v>
      </c>
      <c r="C307" s="9">
        <v>1</v>
      </c>
    </row>
    <row r="308" spans="2:3" x14ac:dyDescent="0.3">
      <c r="B308" s="2" t="s">
        <v>87</v>
      </c>
      <c r="C308" s="9">
        <v>3</v>
      </c>
    </row>
    <row r="309" spans="2:3" x14ac:dyDescent="0.3">
      <c r="B309" s="2" t="s">
        <v>88</v>
      </c>
      <c r="C309" s="9">
        <v>1</v>
      </c>
    </row>
    <row r="310" spans="2:3" x14ac:dyDescent="0.3">
      <c r="B310" s="2" t="s">
        <v>89</v>
      </c>
      <c r="C310" s="9">
        <v>3</v>
      </c>
    </row>
    <row r="311" spans="2:3" x14ac:dyDescent="0.3">
      <c r="B311" s="2" t="s">
        <v>90</v>
      </c>
      <c r="C311" s="9">
        <v>2</v>
      </c>
    </row>
    <row r="312" spans="2:3" x14ac:dyDescent="0.3">
      <c r="B312" s="2" t="s">
        <v>91</v>
      </c>
      <c r="C312" s="9">
        <v>5</v>
      </c>
    </row>
    <row r="313" spans="2:3" x14ac:dyDescent="0.3">
      <c r="B313" s="2" t="s">
        <v>92</v>
      </c>
      <c r="C313" s="9">
        <v>1</v>
      </c>
    </row>
    <row r="314" spans="2:3" x14ac:dyDescent="0.3">
      <c r="B314" s="2" t="s">
        <v>93</v>
      </c>
      <c r="C314" s="9">
        <v>2</v>
      </c>
    </row>
    <row r="315" spans="2:3" x14ac:dyDescent="0.3">
      <c r="B315" s="2" t="s">
        <v>94</v>
      </c>
      <c r="C315" s="9">
        <v>4</v>
      </c>
    </row>
    <row r="316" spans="2:3" x14ac:dyDescent="0.3">
      <c r="B316" s="2" t="s">
        <v>95</v>
      </c>
      <c r="C316" s="9">
        <v>7</v>
      </c>
    </row>
    <row r="317" spans="2:3" x14ac:dyDescent="0.3">
      <c r="B317" s="2" t="s">
        <v>96</v>
      </c>
      <c r="C317" s="9">
        <v>2</v>
      </c>
    </row>
    <row r="318" spans="2:3" x14ac:dyDescent="0.3">
      <c r="B318" s="2" t="s">
        <v>97</v>
      </c>
      <c r="C318" s="9">
        <v>3</v>
      </c>
    </row>
    <row r="319" spans="2:3" x14ac:dyDescent="0.3">
      <c r="B319" s="2" t="s">
        <v>98</v>
      </c>
      <c r="C319" s="9">
        <v>2</v>
      </c>
    </row>
    <row r="320" spans="2:3" x14ac:dyDescent="0.3">
      <c r="B320" s="2" t="s">
        <v>99</v>
      </c>
      <c r="C320" s="9">
        <v>2</v>
      </c>
    </row>
    <row r="321" spans="2:3" x14ac:dyDescent="0.3">
      <c r="B321" s="2" t="s">
        <v>100</v>
      </c>
      <c r="C321" s="9">
        <v>4</v>
      </c>
    </row>
    <row r="322" spans="2:3" x14ac:dyDescent="0.3">
      <c r="B322" s="2" t="s">
        <v>101</v>
      </c>
      <c r="C322" s="9">
        <v>3</v>
      </c>
    </row>
    <row r="323" spans="2:3" x14ac:dyDescent="0.3">
      <c r="B323" s="2" t="s">
        <v>102</v>
      </c>
      <c r="C323" s="9">
        <v>4</v>
      </c>
    </row>
    <row r="324" spans="2:3" x14ac:dyDescent="0.3">
      <c r="B324" s="2" t="s">
        <v>103</v>
      </c>
      <c r="C324" s="9">
        <v>3</v>
      </c>
    </row>
    <row r="325" spans="2:3" x14ac:dyDescent="0.3">
      <c r="B325" s="2" t="s">
        <v>104</v>
      </c>
      <c r="C325" s="9">
        <v>2</v>
      </c>
    </row>
    <row r="326" spans="2:3" x14ac:dyDescent="0.3">
      <c r="B326" s="2" t="s">
        <v>105</v>
      </c>
      <c r="C326" s="9">
        <v>2</v>
      </c>
    </row>
    <row r="327" spans="2:3" x14ac:dyDescent="0.3">
      <c r="B327" s="2" t="s">
        <v>106</v>
      </c>
      <c r="C327" s="9">
        <v>4</v>
      </c>
    </row>
    <row r="328" spans="2:3" x14ac:dyDescent="0.3">
      <c r="B328" s="2" t="s">
        <v>366</v>
      </c>
      <c r="C328" s="9">
        <v>2</v>
      </c>
    </row>
    <row r="329" spans="2:3" x14ac:dyDescent="0.3">
      <c r="B329" s="2" t="s">
        <v>367</v>
      </c>
      <c r="C329" s="9">
        <v>3</v>
      </c>
    </row>
    <row r="330" spans="2:3" x14ac:dyDescent="0.3">
      <c r="B330" s="2" t="s">
        <v>368</v>
      </c>
      <c r="C330" s="9">
        <v>4</v>
      </c>
    </row>
    <row r="331" spans="2:3" x14ac:dyDescent="0.3">
      <c r="B331" s="2" t="s">
        <v>369</v>
      </c>
      <c r="C331" s="9">
        <v>2</v>
      </c>
    </row>
    <row r="332" spans="2:3" x14ac:dyDescent="0.3">
      <c r="B332" s="2" t="s">
        <v>370</v>
      </c>
      <c r="C332" s="9">
        <v>6</v>
      </c>
    </row>
    <row r="333" spans="2:3" x14ac:dyDescent="0.3">
      <c r="B333" s="2" t="s">
        <v>371</v>
      </c>
      <c r="C333" s="9">
        <v>5</v>
      </c>
    </row>
    <row r="334" spans="2:3" x14ac:dyDescent="0.3">
      <c r="B334" s="2" t="s">
        <v>372</v>
      </c>
      <c r="C334" s="9">
        <v>2</v>
      </c>
    </row>
    <row r="335" spans="2:3" x14ac:dyDescent="0.3">
      <c r="B335" s="2" t="s">
        <v>373</v>
      </c>
      <c r="C335" s="9">
        <v>3</v>
      </c>
    </row>
    <row r="336" spans="2:3" x14ac:dyDescent="0.3">
      <c r="B336" s="2" t="s">
        <v>374</v>
      </c>
      <c r="C336" s="9">
        <v>1</v>
      </c>
    </row>
    <row r="337" spans="2:3" x14ac:dyDescent="0.3">
      <c r="B337" s="2" t="s">
        <v>375</v>
      </c>
      <c r="C337" s="9">
        <v>3</v>
      </c>
    </row>
    <row r="338" spans="2:3" x14ac:dyDescent="0.3">
      <c r="B338" s="2" t="s">
        <v>376</v>
      </c>
      <c r="C338" s="9">
        <v>5</v>
      </c>
    </row>
    <row r="339" spans="2:3" x14ac:dyDescent="0.3">
      <c r="B339" s="2" t="s">
        <v>377</v>
      </c>
      <c r="C339" s="9">
        <v>3</v>
      </c>
    </row>
    <row r="340" spans="2:3" x14ac:dyDescent="0.3">
      <c r="B340" s="2" t="s">
        <v>378</v>
      </c>
      <c r="C340" s="9">
        <v>2</v>
      </c>
    </row>
    <row r="341" spans="2:3" x14ac:dyDescent="0.3">
      <c r="B341" s="2" t="s">
        <v>379</v>
      </c>
      <c r="C341" s="9">
        <v>7</v>
      </c>
    </row>
    <row r="342" spans="2:3" x14ac:dyDescent="0.3">
      <c r="B342" s="2" t="s">
        <v>380</v>
      </c>
      <c r="C342" s="9">
        <v>2</v>
      </c>
    </row>
    <row r="343" spans="2:3" x14ac:dyDescent="0.3">
      <c r="B343" s="2" t="s">
        <v>381</v>
      </c>
      <c r="C343" s="9">
        <v>4</v>
      </c>
    </row>
    <row r="344" spans="2:3" x14ac:dyDescent="0.3">
      <c r="B344" s="2" t="s">
        <v>382</v>
      </c>
      <c r="C344" s="9">
        <v>3</v>
      </c>
    </row>
    <row r="345" spans="2:3" x14ac:dyDescent="0.3">
      <c r="B345" s="2" t="s">
        <v>383</v>
      </c>
      <c r="C345" s="9">
        <v>3</v>
      </c>
    </row>
    <row r="346" spans="2:3" x14ac:dyDescent="0.3">
      <c r="B346" s="2" t="s">
        <v>384</v>
      </c>
      <c r="C346" s="9">
        <v>1</v>
      </c>
    </row>
    <row r="347" spans="2:3" x14ac:dyDescent="0.3">
      <c r="B347" s="2" t="s">
        <v>385</v>
      </c>
      <c r="C347" s="9">
        <v>1</v>
      </c>
    </row>
    <row r="348" spans="2:3" x14ac:dyDescent="0.3">
      <c r="B348" s="2" t="s">
        <v>386</v>
      </c>
      <c r="C348" s="9">
        <v>3</v>
      </c>
    </row>
    <row r="349" spans="2:3" x14ac:dyDescent="0.3">
      <c r="B349" s="2" t="s">
        <v>387</v>
      </c>
      <c r="C349" s="9">
        <v>3</v>
      </c>
    </row>
    <row r="350" spans="2:3" x14ac:dyDescent="0.3">
      <c r="B350" s="2" t="s">
        <v>388</v>
      </c>
      <c r="C350" s="9">
        <v>3</v>
      </c>
    </row>
    <row r="351" spans="2:3" x14ac:dyDescent="0.3">
      <c r="B351" s="2" t="s">
        <v>389</v>
      </c>
      <c r="C351" s="9">
        <v>4</v>
      </c>
    </row>
    <row r="352" spans="2:3" x14ac:dyDescent="0.3">
      <c r="B352" s="2" t="s">
        <v>390</v>
      </c>
      <c r="C352" s="9">
        <v>5</v>
      </c>
    </row>
    <row r="353" spans="2:3" x14ac:dyDescent="0.3">
      <c r="B353" s="2" t="s">
        <v>391</v>
      </c>
      <c r="C353" s="9">
        <v>2</v>
      </c>
    </row>
    <row r="354" spans="2:3" x14ac:dyDescent="0.3">
      <c r="B354" s="2" t="s">
        <v>392</v>
      </c>
      <c r="C354" s="9">
        <v>6</v>
      </c>
    </row>
    <row r="355" spans="2:3" x14ac:dyDescent="0.3">
      <c r="B355" s="2" t="s">
        <v>393</v>
      </c>
      <c r="C355" s="9">
        <v>1</v>
      </c>
    </row>
    <row r="356" spans="2:3" x14ac:dyDescent="0.3">
      <c r="B356" s="2" t="s">
        <v>394</v>
      </c>
      <c r="C356" s="9">
        <v>6</v>
      </c>
    </row>
    <row r="357" spans="2:3" x14ac:dyDescent="0.3">
      <c r="B357" s="2" t="s">
        <v>395</v>
      </c>
      <c r="C357" s="9">
        <v>2</v>
      </c>
    </row>
    <row r="358" spans="2:3" x14ac:dyDescent="0.3">
      <c r="B358" s="2" t="s">
        <v>5</v>
      </c>
      <c r="C358" s="9">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0EA6-3D44-4810-A051-E20488B2F3B3}">
  <sheetPr codeName="Sheet2"/>
  <dimension ref="B7:W14"/>
  <sheetViews>
    <sheetView showGridLines="0" tabSelected="1" zoomScale="76" zoomScaleNormal="104" workbookViewId="0">
      <selection activeCell="W22" sqref="W22"/>
    </sheetView>
  </sheetViews>
  <sheetFormatPr defaultRowHeight="14.4" x14ac:dyDescent="0.3"/>
  <cols>
    <col min="1" max="15" width="8.88671875" style="8"/>
    <col min="16" max="16" width="11.88671875" style="8" customWidth="1"/>
    <col min="17" max="16384" width="8.88671875" style="8"/>
  </cols>
  <sheetData>
    <row r="7" spans="2:23" x14ac:dyDescent="0.3">
      <c r="B7" s="8">
        <f>'Pivot Report '!A12</f>
        <v>1000</v>
      </c>
    </row>
    <row r="14" spans="2:23" x14ac:dyDescent="0.3">
      <c r="W14" s="8" t="s">
        <v>20</v>
      </c>
    </row>
  </sheetData>
  <sheetProtection algorithmName="SHA-512" hashValue="noFrnWmKw9uxYKk+jDhASHH6u1RsOLIaApqPmu+Cj97QEEAozBFISFuy6v2PbbRWlnjr6lvU1iNN7+XEvnfFxQ==" saltValue="iSRo5TYTltDo1gBz9lFuTw=="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3429895-6179-43B4-A252-605B472933AC}">
  <ds:schemaRefs/>
</ds:datastoreItem>
</file>

<file path=customXml/itemProps2.xml><?xml version="1.0" encoding="utf-8"?>
<ds:datastoreItem xmlns:ds="http://schemas.openxmlformats.org/officeDocument/2006/customXml" ds:itemID="{ABEEE013-B71B-413D-8571-B09B759988C7}">
  <ds:schemaRefs/>
</ds:datastoreItem>
</file>

<file path=customXml/itemProps3.xml><?xml version="1.0" encoding="utf-8"?>
<ds:datastoreItem xmlns:ds="http://schemas.openxmlformats.org/officeDocument/2006/customXml" ds:itemID="{44DF730C-43E3-4DEA-B05E-DAF8B51183B9}">
  <ds:schemaRefs/>
</ds:datastoreItem>
</file>

<file path=customXml/itemProps4.xml><?xml version="1.0" encoding="utf-8"?>
<ds:datastoreItem xmlns:ds="http://schemas.openxmlformats.org/officeDocument/2006/customXml" ds:itemID="{D4931024-38F0-4E9A-B1E5-905892B21AE2}">
  <ds:schemaRefs/>
</ds:datastoreItem>
</file>

<file path=customXml/itemProps5.xml><?xml version="1.0" encoding="utf-8"?>
<ds:datastoreItem xmlns:ds="http://schemas.openxmlformats.org/officeDocument/2006/customXml" ds:itemID="{CA536FBC-27B4-4C63-AF65-9FD32C514003}">
  <ds:schemaRefs/>
</ds:datastoreItem>
</file>

<file path=customXml/itemProps6.xml><?xml version="1.0" encoding="utf-8"?>
<ds:datastoreItem xmlns:ds="http://schemas.openxmlformats.org/officeDocument/2006/customXml" ds:itemID="{90619003-5F76-4A45-AC93-2ED7DD1E19E4}">
  <ds:schemaRefs/>
</ds:datastoreItem>
</file>

<file path=customXml/itemProps7.xml><?xml version="1.0" encoding="utf-8"?>
<ds:datastoreItem xmlns:ds="http://schemas.openxmlformats.org/officeDocument/2006/customXml" ds:itemID="{E19C910F-99B0-4F7B-A342-9F229A9A9BDC}">
  <ds:schemaRefs/>
</ds:datastoreItem>
</file>

<file path=customXml/itemProps8.xml><?xml version="1.0" encoding="utf-8"?>
<ds:datastoreItem xmlns:ds="http://schemas.openxmlformats.org/officeDocument/2006/customXml" ds:itemID="{F03F65B2-9F99-4409-919E-DE7B021944F2}">
  <ds:schemaRefs/>
</ds:datastoreItem>
</file>

<file path=customXml/itemProps9.xml><?xml version="1.0" encoding="utf-8"?>
<ds:datastoreItem xmlns:ds="http://schemas.openxmlformats.org/officeDocument/2006/customXml" ds:itemID="{1888BED0-0A56-420E-880D-AEE1BB0464DB}">
  <ds:schemaRefs/>
</ds:datastoreItem>
</file>

<file path=customXml/itemProps10.xml><?xml version="1.0" encoding="utf-8"?>
<ds:datastoreItem xmlns:ds="http://schemas.openxmlformats.org/officeDocument/2006/customXml" ds:itemID="{A6366443-173D-4C4F-B8A5-F5A847459844}">
  <ds:schemaRefs/>
</ds:datastoreItem>
</file>

<file path=customXml/itemProps11.xml><?xml version="1.0" encoding="utf-8"?>
<ds:datastoreItem xmlns:ds="http://schemas.openxmlformats.org/officeDocument/2006/customXml" ds:itemID="{235F4BDF-E290-43A3-AAEB-94407A34FC17}">
  <ds:schemaRefs/>
</ds:datastoreItem>
</file>

<file path=customXml/itemProps12.xml><?xml version="1.0" encoding="utf-8"?>
<ds:datastoreItem xmlns:ds="http://schemas.openxmlformats.org/officeDocument/2006/customXml" ds:itemID="{1DFE89AD-2F9A-4A6D-A6A7-0376F9091C71}">
  <ds:schemaRefs/>
</ds:datastoreItem>
</file>

<file path=customXml/itemProps13.xml><?xml version="1.0" encoding="utf-8"?>
<ds:datastoreItem xmlns:ds="http://schemas.openxmlformats.org/officeDocument/2006/customXml" ds:itemID="{1DA7C08B-BFF6-4DF3-BB07-9E2F87046F1D}">
  <ds:schemaRefs/>
</ds:datastoreItem>
</file>

<file path=customXml/itemProps14.xml><?xml version="1.0" encoding="utf-8"?>
<ds:datastoreItem xmlns:ds="http://schemas.openxmlformats.org/officeDocument/2006/customXml" ds:itemID="{A5A18012-EEA2-4091-B134-AD9697C49F83}">
  <ds:schemaRefs>
    <ds:schemaRef ds:uri="http://schemas.microsoft.com/DataMashup"/>
  </ds:schemaRefs>
</ds:datastoreItem>
</file>

<file path=customXml/itemProps15.xml><?xml version="1.0" encoding="utf-8"?>
<ds:datastoreItem xmlns:ds="http://schemas.openxmlformats.org/officeDocument/2006/customXml" ds:itemID="{2C451A62-FF4E-4B78-9375-2D21EE464A65}">
  <ds:schemaRefs/>
</ds:datastoreItem>
</file>

<file path=customXml/itemProps16.xml><?xml version="1.0" encoding="utf-8"?>
<ds:datastoreItem xmlns:ds="http://schemas.openxmlformats.org/officeDocument/2006/customXml" ds:itemID="{D4C17E37-2372-4B43-8104-53240ECE9E06}">
  <ds:schemaRefs/>
</ds:datastoreItem>
</file>

<file path=customXml/itemProps17.xml><?xml version="1.0" encoding="utf-8"?>
<ds:datastoreItem xmlns:ds="http://schemas.openxmlformats.org/officeDocument/2006/customXml" ds:itemID="{C38400F8-7FA1-4F74-8D8D-E81DB03A718B}">
  <ds:schemaRefs/>
</ds:datastoreItem>
</file>

<file path=customXml/itemProps18.xml><?xml version="1.0" encoding="utf-8"?>
<ds:datastoreItem xmlns:ds="http://schemas.openxmlformats.org/officeDocument/2006/customXml" ds:itemID="{2E923C0B-9AD9-4BB5-8E2A-A3EEBF857A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Himani Rameniya</dc:creator>
  <cp:lastModifiedBy>Himani Rameniya</cp:lastModifiedBy>
  <dcterms:created xsi:type="dcterms:W3CDTF">2026-03-11T15:03:35Z</dcterms:created>
  <dcterms:modified xsi:type="dcterms:W3CDTF">2026-03-23T12:09:45Z</dcterms:modified>
</cp:coreProperties>
</file>